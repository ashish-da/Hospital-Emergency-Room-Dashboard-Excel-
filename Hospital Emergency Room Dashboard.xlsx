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shish\OneDrive\Desktop\"/>
    </mc:Choice>
  </mc:AlternateContent>
  <xr:revisionPtr revIDLastSave="0" documentId="13_ncr:1_{D0DA5FCA-B384-46FD-8EA9-63A45AC34B99}" xr6:coauthVersionLast="47" xr6:coauthVersionMax="47" xr10:uidLastSave="{00000000-0000-0000-0000-000000000000}"/>
  <bookViews>
    <workbookView xWindow="-120" yWindow="-120" windowWidth="20730" windowHeight="11160" activeTab="1" xr2:uid="{F1A5B1F7-1935-4F24-BCEF-791868451C10}"/>
  </bookViews>
  <sheets>
    <sheet name="Sheet1" sheetId="1" r:id="rId1"/>
    <sheet name="Dashboard" sheetId="2" r:id="rId2"/>
  </sheets>
  <definedNames>
    <definedName name="Slicer_date__Month">#N/A</definedName>
    <definedName name="Slicer_date__Year">#N/A</definedName>
  </definedNames>
  <calcPr calcId="191029"/>
  <pivotCaches>
    <pivotCache cacheId="806" r:id="rId3"/>
    <pivotCache cacheId="809" r:id="rId4"/>
    <pivotCache cacheId="812" r:id="rId5"/>
    <pivotCache cacheId="815" r:id="rId6"/>
    <pivotCache cacheId="818" r:id="rId7"/>
    <pivotCache cacheId="821" r:id="rId8"/>
    <pivotCache cacheId="824" r:id="rId9"/>
    <pivotCache cacheId="827" r:id="rId10"/>
    <pivotCache cacheId="830" r:id="rId11"/>
    <pivotCache cacheId="833" r:id="rId12"/>
    <pivotCache cacheId="836" r:id="rId13"/>
  </pivotCaches>
  <extLst>
    <ext xmlns:x14="http://schemas.microsoft.com/office/spreadsheetml/2009/9/main" uri="{876F7934-8845-4945-9796-88D515C7AA90}">
      <x14:pivotCaches>
        <pivotCache cacheId="11"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32e6a4d-6b0c-429b-880c-b32c9d636d87" name="Hospital Emergency Room Data" connection="Query - Hospital Emergency Room Data"/>
          <x15:modelTable id="Calander_Table_99bb739b-b502-499c-95fe-f90c195b5d39" name="Calander_Table" connection="Query - Calander_Table"/>
        </x15:modelTables>
        <x15:modelRelationships>
          <x15:modelRelationship fromTable="Hospital Emergency Room Data" fromColumn="Patient_Admission_date" toTable="Calander_Table" toColumn="date"/>
        </x15:modelRelationships>
        <x15:extLst>
          <ext xmlns:x16="http://schemas.microsoft.com/office/spreadsheetml/2014/11/main" uri="{9835A34E-60A6-4A7C-AAB8-D5F71C897F49}">
            <x16:modelTimeGroupings>
              <x16:modelTimeGrouping tableName="Cala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4" i="1" l="1"/>
  <c r="E4" i="1"/>
  <c r="D3" i="1"/>
  <c r="E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110999-A1E7-4A55-96B7-C411B915BC3D}" name="Query - Calander_Table" description="Connection to the 'Calander_Table' query in the workbook." type="100" refreshedVersion="8" minRefreshableVersion="5">
    <extLst>
      <ext xmlns:x15="http://schemas.microsoft.com/office/spreadsheetml/2010/11/main" uri="{DE250136-89BD-433C-8126-D09CA5730AF9}">
        <x15:connection id="0004219f-8b25-4f7b-8499-198fe68a152b">
          <x15:oledbPr connection="Provider=Microsoft.Mashup.OleDb.1;Data Source=$Workbook$;Location=Calander_Table;Extended Properties=&quot;&quot;">
            <x15:dbTables>
              <x15:dbTable name="Calander_Table"/>
            </x15:dbTables>
          </x15:oledbPr>
        </x15:connection>
      </ext>
    </extLst>
  </connection>
  <connection id="2" xr16:uid="{CCCCD696-90D8-4A8D-89BE-384F95810F1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50df548-bd2c-4049-be09-c3318de551d4"/>
      </ext>
    </extLst>
  </connection>
  <connection id="3" xr16:uid="{39159C18-59F9-433F-9CE2-42A9A544419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<sst xmlns="http://schemas.openxmlformats.org/spreadsheetml/2006/main" count="116" uniqueCount="69">
  <si>
    <t>Distinct Count of Patient Id</t>
  </si>
  <si>
    <t>no of patient count</t>
  </si>
  <si>
    <t>Average of Patient Waittime</t>
  </si>
  <si>
    <t>Average of Patient Satisfaction Score</t>
  </si>
  <si>
    <t>Row Labels</t>
  </si>
  <si>
    <t>Grand Total</t>
  </si>
  <si>
    <t>2023</t>
  </si>
  <si>
    <t>Count of Patient Admission Flag</t>
  </si>
  <si>
    <t>Admitted</t>
  </si>
  <si>
    <t>Not Admitted</t>
  </si>
  <si>
    <t>Admission Status</t>
  </si>
  <si>
    <t>% Status</t>
  </si>
  <si>
    <t>Count of Patient Admission Flag2</t>
  </si>
  <si>
    <t>Patient</t>
  </si>
  <si>
    <t>Count of Patient Gender</t>
  </si>
  <si>
    <t>Female</t>
  </si>
  <si>
    <t>Male</t>
  </si>
  <si>
    <t>Cardiology</t>
  </si>
  <si>
    <t>Gastroenterology</t>
  </si>
  <si>
    <t>General Practice</t>
  </si>
  <si>
    <t>Neurology</t>
  </si>
  <si>
    <t>None</t>
  </si>
  <si>
    <t>Orthopedics</t>
  </si>
  <si>
    <t>Physiotherapy</t>
  </si>
  <si>
    <t>Renal</t>
  </si>
  <si>
    <t>Count of Department Referral</t>
  </si>
  <si>
    <t>Count of wait_time_status</t>
  </si>
  <si>
    <t>Delay</t>
  </si>
  <si>
    <t>OnTime</t>
  </si>
  <si>
    <t>Count of Age_group</t>
  </si>
  <si>
    <t>70-79</t>
  </si>
  <si>
    <t>0-09</t>
  </si>
  <si>
    <t>10-19</t>
  </si>
  <si>
    <t>20-29</t>
  </si>
  <si>
    <t>30-39</t>
  </si>
  <si>
    <t>40-49</t>
  </si>
  <si>
    <t>50-59</t>
  </si>
  <si>
    <t>60-69</t>
  </si>
  <si>
    <t>waiting time</t>
  </si>
  <si>
    <t>satisfaction score</t>
  </si>
  <si>
    <t>count of patient</t>
  </si>
  <si>
    <t>4-Jul</t>
  </si>
  <si>
    <t>5-Jul</t>
  </si>
  <si>
    <t>6-Jul</t>
  </si>
  <si>
    <t>7-Jul</t>
  </si>
  <si>
    <t>8-Jul</t>
  </si>
  <si>
    <t>9-Jul</t>
  </si>
  <si>
    <t>10-Jul</t>
  </si>
  <si>
    <t>11-Jul</t>
  </si>
  <si>
    <t>12-Jul</t>
  </si>
  <si>
    <t>13-Jul</t>
  </si>
  <si>
    <t>14-Jul</t>
  </si>
  <si>
    <t>15-Jul</t>
  </si>
  <si>
    <t>16-Jul</t>
  </si>
  <si>
    <t>17-Jul</t>
  </si>
  <si>
    <t>18-Jul</t>
  </si>
  <si>
    <t>19-Jul</t>
  </si>
  <si>
    <t>20-Jul</t>
  </si>
  <si>
    <t>21-Jul</t>
  </si>
  <si>
    <t>22-Jul</t>
  </si>
  <si>
    <t>23-Jul</t>
  </si>
  <si>
    <t>24-Jul</t>
  </si>
  <si>
    <t>25-Jul</t>
  </si>
  <si>
    <t>26-Jul</t>
  </si>
  <si>
    <t>27-Jul</t>
  </si>
  <si>
    <t>28-Jul</t>
  </si>
  <si>
    <t>29-Jul</t>
  </si>
  <si>
    <t>30-Jul</t>
  </si>
  <si>
    <t>31-Jul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</si>
</sst>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0"/>
      <name val="Calibri"/>
      <family val="2"/>
      <scheme val="minor"/>
    </font>
  </fonts>
  <fills count="5">
    <fill>
      <patternFill patternType="none"/>
    </fill>
    <fill>
      <patternFill patternType="gray125"/>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164" fontId="0" fillId="0" borderId="0" xfId="0" applyNumberFormat="1"/>
    <xf numFmtId="1" fontId="0" fillId="0" borderId="0" xfId="0" applyNumberFormat="1"/>
    <xf numFmtId="10" fontId="0" fillId="0" borderId="0" xfId="0" applyNumberFormat="1"/>
    <xf numFmtId="0" fontId="0" fillId="3" borderId="0" xfId="0" applyFill="1" applyAlignment="1">
      <alignment horizontal="left"/>
    </xf>
    <xf numFmtId="2" fontId="0" fillId="3" borderId="0" xfId="0" applyNumberFormat="1" applyFill="1"/>
    <xf numFmtId="10" fontId="0" fillId="3" borderId="0" xfId="0" applyNumberFormat="1" applyFill="1"/>
    <xf numFmtId="0" fontId="1" fillId="4" borderId="0" xfId="0" applyFont="1" applyFill="1" applyAlignment="1">
      <alignment horizontal="left"/>
    </xf>
    <xf numFmtId="0" fontId="1" fillId="4" borderId="0" xfId="0" applyFont="1" applyFill="1"/>
    <xf numFmtId="2" fontId="0" fillId="3" borderId="0" xfId="0" applyNumberFormat="1" applyFill="1" applyAlignment="1">
      <alignment horizontal="center"/>
    </xf>
    <xf numFmtId="0" fontId="1" fillId="4" borderId="0" xfId="0" applyFont="1" applyFill="1" applyAlignment="1">
      <alignment horizontal="center"/>
    </xf>
    <xf numFmtId="0" fontId="0" fillId="0" borderId="0" xfId="0" applyNumberFormat="1"/>
  </cellXfs>
  <cellStyles count="1">
    <cellStyle name="Normal" xfId="0" builtinId="0"/>
  </cellStyles>
  <dxfs count="391">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2" formatCode="0.00"/>
    </dxf>
    <dxf>
      <numFmt numFmtId="1" formatCode="0"/>
    </dxf>
    <dxf>
      <numFmt numFmtId="164" formatCode="0.0"/>
    </dxf>
    <dxf>
      <numFmt numFmtId="1" formatCode="0"/>
    </dxf>
    <dxf>
      <numFmt numFmtId="2" formatCode="0.00"/>
    </dxf>
    <dxf>
      <numFmt numFmtId="1" formatCode="0"/>
    </dxf>
    <dxf>
      <numFmt numFmtId="2" formatCode="0.00"/>
    </dxf>
    <dxf>
      <numFmt numFmtId="2" formatCode="0.00"/>
    </dxf>
    <dxf>
      <numFmt numFmtId="0" formatCode="General"/>
    </dxf>
    <dxf>
      <numFmt numFmtId="2" formatCode="0.00"/>
    </dxf>
    <dxf>
      <numFmt numFmtId="14" formatCode="0.00%"/>
    </dxf>
    <dxf>
      <numFmt numFmtId="164" formatCode="0.0"/>
    </dxf>
    <dxf>
      <numFmt numFmtId="2" formatCode="0.00"/>
    </dxf>
    <dxf>
      <numFmt numFmtId="2" formatCode="0.00"/>
    </dxf>
    <dxf>
      <numFmt numFmtId="164" formatCode="0.0"/>
    </dxf>
    <dxf>
      <numFmt numFmtId="1" formatCode="0"/>
    </dxf>
    <dxf>
      <numFmt numFmtId="2" formatCode="0.00"/>
    </dxf>
    <dxf>
      <numFmt numFmtId="164" formatCode="0.0"/>
    </dxf>
    <dxf>
      <numFmt numFmtId="2" formatCode="0.00"/>
    </dxf>
    <dxf>
      <numFmt numFmtId="2" formatCode="0.00"/>
    </dxf>
    <dxf>
      <numFmt numFmtId="2" formatCode="0.00"/>
    </dxf>
    <dxf>
      <numFmt numFmtId="0" formatCode="General"/>
    </dxf>
    <dxf>
      <numFmt numFmtId="2" formatCode="0.00"/>
    </dxf>
    <dxf>
      <numFmt numFmtId="164" formatCode="0.0"/>
    </dxf>
    <dxf>
      <numFmt numFmtId="1" formatCode="0"/>
    </dxf>
    <dxf>
      <numFmt numFmtId="2" formatCode="0.00"/>
    </dxf>
    <dxf>
      <numFmt numFmtId="1" formatCode="0"/>
    </dxf>
    <dxf>
      <numFmt numFmtId="164" formatCode="0.0"/>
    </dxf>
    <dxf>
      <numFmt numFmtId="14" formatCode="0.00%"/>
    </dxf>
    <dxf>
      <numFmt numFmtId="2" formatCode="0.00"/>
    </dxf>
    <dxf>
      <fill>
        <patternFill>
          <bgColor theme="2"/>
        </patternFill>
      </fill>
      <border>
        <left style="thin">
          <color auto="1"/>
        </left>
        <right style="thin">
          <color auto="1"/>
        </right>
        <top style="thin">
          <color auto="1"/>
        </top>
        <bottom style="thin">
          <color auto="1"/>
        </bottom>
      </border>
    </dxf>
  </dxfs>
  <tableStyles count="2" defaultTableStyle="TableStyleMedium2" defaultPivotStyle="PivotStyleLight16">
    <tableStyle name="Invisible" pivot="0" table="0" count="0" xr9:uid="{0467148F-E6F9-4F88-9144-AB04278C87D9}"/>
    <tableStyle name="Slicer Style 1" pivot="0" table="0" count="1" xr9:uid="{8F8B6730-E6DF-4D1F-886A-C4E44CBD2065}">
      <tableStyleElement type="wholeTable" dxfId="390"/>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5.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29" Type="http://schemas.openxmlformats.org/officeDocument/2006/relationships/customXml" Target="../customXml/item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8.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572B21B-A494-409A-A9AB-E3066BEFCA9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1BF66F1-76D4-4E21-88D6-A7FBD6751B31}"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B5CCFBC-3E4B-444E-BF26-17DE9E95037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7948814-40F3-447E-BECC-772DBDCCCB45}"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5CFD6AB-2B26-46FA-BFCD-790DC19E1156}"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9"/>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51494A0-8CC5-40D5-B942-12BB1B19E258}"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1C0104-F586-4E1D-AEF3-A842EDA73930}"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2CB9ED96-AE74-4C21-835A-78F23673BB2D}" type="CELLRANGE">
                  <a:rPr lang="en-US"/>
                  <a:pPr>
                    <a:defRPr sz="9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pivotFmt>
      <c:pivotFmt>
        <c:idx val="17"/>
        <c:spPr>
          <a:solidFill>
            <a:schemeClr val="accent1"/>
          </a:solidFill>
          <a:ln>
            <a:noFill/>
          </a:ln>
          <a:effectLst/>
        </c:spPr>
      </c:pivotFmt>
    </c:pivotFmts>
    <c:plotArea>
      <c:layout>
        <c:manualLayout>
          <c:layoutTarget val="inner"/>
          <c:xMode val="edge"/>
          <c:yMode val="edge"/>
          <c:x val="6.5567682683348866E-2"/>
          <c:y val="0.17447324918060983"/>
          <c:w val="0.93202573255485877"/>
          <c:h val="0.82352880663727968"/>
        </c:manualLayout>
      </c:layout>
      <c:barChart>
        <c:barDir val="bar"/>
        <c:grouping val="clustered"/>
        <c:varyColors val="0"/>
        <c:ser>
          <c:idx val="0"/>
          <c:order val="0"/>
          <c:tx>
            <c:strRef>
              <c:f>Sheet1!$B$16</c:f>
              <c:strCache>
                <c:ptCount val="1"/>
                <c:pt idx="0">
                  <c:v>Count of Patient Admission Flag</c:v>
                </c:pt>
              </c:strCache>
            </c:strRef>
          </c:tx>
          <c:spPr>
            <a:solidFill>
              <a:schemeClr val="accent1"/>
            </a:solidFill>
            <a:ln>
              <a:noFill/>
            </a:ln>
            <a:effectLst/>
          </c:spPr>
          <c:invertIfNegative val="0"/>
          <c:cat>
            <c:strRef>
              <c:f>Sheet1!$A$17:$A$19</c:f>
              <c:strCache>
                <c:ptCount val="2"/>
                <c:pt idx="0">
                  <c:v>Admitted</c:v>
                </c:pt>
                <c:pt idx="1">
                  <c:v>Not Admitted</c:v>
                </c:pt>
              </c:strCache>
            </c:strRef>
          </c:cat>
          <c:val>
            <c:numRef>
              <c:f>Sheet1!$B$17:$B$19</c:f>
              <c:numCache>
                <c:formatCode>0.00%</c:formatCode>
                <c:ptCount val="2"/>
                <c:pt idx="0">
                  <c:v>0.5</c:v>
                </c:pt>
                <c:pt idx="1">
                  <c:v>0.5</c:v>
                </c:pt>
              </c:numCache>
            </c:numRef>
          </c:val>
          <c:extLst>
            <c:ext xmlns:c16="http://schemas.microsoft.com/office/drawing/2014/chart" uri="{C3380CC4-5D6E-409C-BE32-E72D297353CC}">
              <c16:uniqueId val="{00000002-AF37-44A4-B12C-A8533F645984}"/>
            </c:ext>
          </c:extLst>
        </c:ser>
        <c:ser>
          <c:idx val="1"/>
          <c:order val="1"/>
          <c:tx>
            <c:strRef>
              <c:f>Sheet1!$C$16</c:f>
              <c:strCache>
                <c:ptCount val="1"/>
                <c:pt idx="0">
                  <c:v>Count of Patient Admission Flag2</c:v>
                </c:pt>
              </c:strCache>
            </c:strRef>
          </c:tx>
          <c:spPr>
            <a:solidFill>
              <a:schemeClr val="accent2"/>
            </a:solidFill>
            <a:ln>
              <a:noFill/>
            </a:ln>
            <a:effectLst/>
          </c:spPr>
          <c:invertIfNegative val="0"/>
          <c:cat>
            <c:strRef>
              <c:f>Sheet1!$A$17:$A$19</c:f>
              <c:strCache>
                <c:ptCount val="2"/>
                <c:pt idx="0">
                  <c:v>Admitted</c:v>
                </c:pt>
                <c:pt idx="1">
                  <c:v>Not Admitted</c:v>
                </c:pt>
              </c:strCache>
            </c:strRef>
          </c:cat>
          <c:val>
            <c:numRef>
              <c:f>Sheet1!$C$17:$C$19</c:f>
              <c:numCache>
                <c:formatCode>0.00</c:formatCode>
                <c:ptCount val="2"/>
                <c:pt idx="0">
                  <c:v>214</c:v>
                </c:pt>
                <c:pt idx="1">
                  <c:v>214</c:v>
                </c:pt>
              </c:numCache>
            </c:numRef>
          </c:val>
          <c:extLst>
            <c:ext xmlns:c16="http://schemas.microsoft.com/office/drawing/2014/chart" uri="{C3380CC4-5D6E-409C-BE32-E72D297353CC}">
              <c16:uniqueId val="{00000003-AF37-44A4-B12C-A8533F645984}"/>
            </c:ext>
          </c:extLst>
        </c:ser>
        <c:dLbls>
          <c:showLegendKey val="0"/>
          <c:showVal val="0"/>
          <c:showCatName val="0"/>
          <c:showSerName val="0"/>
          <c:showPercent val="0"/>
          <c:showBubbleSize val="0"/>
        </c:dLbls>
        <c:gapWidth val="60"/>
        <c:overlap val="41"/>
        <c:axId val="123527248"/>
        <c:axId val="123521488"/>
      </c:barChart>
      <c:catAx>
        <c:axId val="123527248"/>
        <c:scaling>
          <c:orientation val="minMax"/>
        </c:scaling>
        <c:delete val="1"/>
        <c:axPos val="l"/>
        <c:numFmt formatCode="General" sourceLinked="1"/>
        <c:majorTickMark val="none"/>
        <c:minorTickMark val="none"/>
        <c:tickLblPos val="nextTo"/>
        <c:crossAx val="123521488"/>
        <c:crosses val="autoZero"/>
        <c:auto val="1"/>
        <c:lblAlgn val="ctr"/>
        <c:lblOffset val="100"/>
        <c:noMultiLvlLbl val="0"/>
      </c:catAx>
      <c:valAx>
        <c:axId val="123521488"/>
        <c:scaling>
          <c:orientation val="minMax"/>
        </c:scaling>
        <c:delete val="1"/>
        <c:axPos val="b"/>
        <c:numFmt formatCode="0.00%" sourceLinked="1"/>
        <c:majorTickMark val="none"/>
        <c:minorTickMark val="none"/>
        <c:tickLblPos val="nextTo"/>
        <c:crossAx val="123527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Sheet1!$I$8</c:f>
              <c:strCache>
                <c:ptCount val="1"/>
                <c:pt idx="0">
                  <c:v>Total</c:v>
                </c:pt>
              </c:strCache>
            </c:strRef>
          </c:tx>
          <c:spPr>
            <a:solidFill>
              <a:schemeClr val="accent1"/>
            </a:solidFill>
            <a:ln>
              <a:noFill/>
            </a:ln>
            <a:effectLst/>
          </c:spPr>
          <c:cat>
            <c:strRef>
              <c:f>Sheet1!$H$9:$H$37</c:f>
              <c:strCache>
                <c:ptCount val="28"/>
                <c:pt idx="0">
                  <c:v>4-Jul</c:v>
                </c:pt>
                <c:pt idx="1">
                  <c:v>5-Jul</c:v>
                </c:pt>
                <c:pt idx="2">
                  <c:v>6-Jul</c:v>
                </c:pt>
                <c:pt idx="3">
                  <c:v>7-Jul</c:v>
                </c:pt>
                <c:pt idx="4">
                  <c:v>8-Jul</c:v>
                </c:pt>
                <c:pt idx="5">
                  <c:v>9-Jul</c:v>
                </c:pt>
                <c:pt idx="6">
                  <c:v>10-Jul</c:v>
                </c:pt>
                <c:pt idx="7">
                  <c:v>11-Jul</c:v>
                </c:pt>
                <c:pt idx="8">
                  <c:v>12-Jul</c:v>
                </c:pt>
                <c:pt idx="9">
                  <c:v>13-Jul</c:v>
                </c:pt>
                <c:pt idx="10">
                  <c:v>14-Jul</c:v>
                </c:pt>
                <c:pt idx="11">
                  <c:v>15-Jul</c:v>
                </c:pt>
                <c:pt idx="12">
                  <c:v>16-Jul</c:v>
                </c:pt>
                <c:pt idx="13">
                  <c:v>17-Jul</c:v>
                </c:pt>
                <c:pt idx="14">
                  <c:v>18-Jul</c:v>
                </c:pt>
                <c:pt idx="15">
                  <c:v>19-Jul</c:v>
                </c:pt>
                <c:pt idx="16">
                  <c:v>20-Jul</c:v>
                </c:pt>
                <c:pt idx="17">
                  <c:v>21-Jul</c:v>
                </c:pt>
                <c:pt idx="18">
                  <c:v>22-Jul</c:v>
                </c:pt>
                <c:pt idx="19">
                  <c:v>23-Jul</c:v>
                </c:pt>
                <c:pt idx="20">
                  <c:v>24-Jul</c:v>
                </c:pt>
                <c:pt idx="21">
                  <c:v>25-Jul</c:v>
                </c:pt>
                <c:pt idx="22">
                  <c:v>26-Jul</c:v>
                </c:pt>
                <c:pt idx="23">
                  <c:v>27-Jul</c:v>
                </c:pt>
                <c:pt idx="24">
                  <c:v>28-Jul</c:v>
                </c:pt>
                <c:pt idx="25">
                  <c:v>29-Jul</c:v>
                </c:pt>
                <c:pt idx="26">
                  <c:v>30-Jul</c:v>
                </c:pt>
                <c:pt idx="27">
                  <c:v>31-Jul</c:v>
                </c:pt>
              </c:strCache>
            </c:strRef>
          </c:cat>
          <c:val>
            <c:numRef>
              <c:f>Sheet1!$I$9:$I$37</c:f>
              <c:numCache>
                <c:formatCode>0.0</c:formatCode>
                <c:ptCount val="28"/>
                <c:pt idx="0">
                  <c:v>33.81818181818182</c:v>
                </c:pt>
                <c:pt idx="1">
                  <c:v>34.93333333333333</c:v>
                </c:pt>
                <c:pt idx="2">
                  <c:v>35</c:v>
                </c:pt>
                <c:pt idx="3">
                  <c:v>38.333333333333336</c:v>
                </c:pt>
                <c:pt idx="4">
                  <c:v>43.666666666666664</c:v>
                </c:pt>
                <c:pt idx="5">
                  <c:v>34.5</c:v>
                </c:pt>
                <c:pt idx="6">
                  <c:v>34.133333333333333</c:v>
                </c:pt>
                <c:pt idx="7">
                  <c:v>36.578947368421055</c:v>
                </c:pt>
                <c:pt idx="8">
                  <c:v>43.142857142857146</c:v>
                </c:pt>
                <c:pt idx="9">
                  <c:v>31.1</c:v>
                </c:pt>
                <c:pt idx="10">
                  <c:v>34.333333333333336</c:v>
                </c:pt>
                <c:pt idx="11">
                  <c:v>28.6</c:v>
                </c:pt>
                <c:pt idx="12">
                  <c:v>32</c:v>
                </c:pt>
                <c:pt idx="13">
                  <c:v>37.625</c:v>
                </c:pt>
                <c:pt idx="14">
                  <c:v>37.785714285714285</c:v>
                </c:pt>
                <c:pt idx="15">
                  <c:v>36.375</c:v>
                </c:pt>
                <c:pt idx="16">
                  <c:v>38.857142857142854</c:v>
                </c:pt>
                <c:pt idx="17">
                  <c:v>37</c:v>
                </c:pt>
                <c:pt idx="18">
                  <c:v>33</c:v>
                </c:pt>
                <c:pt idx="19">
                  <c:v>33.333333333333336</c:v>
                </c:pt>
                <c:pt idx="20">
                  <c:v>36.944444444444443</c:v>
                </c:pt>
                <c:pt idx="21">
                  <c:v>34.357142857142854</c:v>
                </c:pt>
                <c:pt idx="22">
                  <c:v>39</c:v>
                </c:pt>
                <c:pt idx="23">
                  <c:v>32</c:v>
                </c:pt>
                <c:pt idx="24">
                  <c:v>33.5</c:v>
                </c:pt>
                <c:pt idx="25">
                  <c:v>37.89473684210526</c:v>
                </c:pt>
                <c:pt idx="26">
                  <c:v>32</c:v>
                </c:pt>
                <c:pt idx="27">
                  <c:v>35.133333333333333</c:v>
                </c:pt>
              </c:numCache>
            </c:numRef>
          </c:val>
          <c:extLst>
            <c:ext xmlns:c16="http://schemas.microsoft.com/office/drawing/2014/chart" uri="{C3380CC4-5D6E-409C-BE32-E72D297353CC}">
              <c16:uniqueId val="{00000000-5CE2-403C-A03C-B4FDE7FD0196}"/>
            </c:ext>
          </c:extLst>
        </c:ser>
        <c:dLbls>
          <c:showLegendKey val="0"/>
          <c:showVal val="0"/>
          <c:showCatName val="0"/>
          <c:showSerName val="0"/>
          <c:showPercent val="0"/>
          <c:showBubbleSize val="0"/>
        </c:dLbls>
        <c:axId val="1848151487"/>
        <c:axId val="1848162527"/>
      </c:areaChart>
      <c:catAx>
        <c:axId val="1848151487"/>
        <c:scaling>
          <c:orientation val="minMax"/>
        </c:scaling>
        <c:delete val="1"/>
        <c:axPos val="b"/>
        <c:numFmt formatCode="General" sourceLinked="1"/>
        <c:majorTickMark val="out"/>
        <c:minorTickMark val="none"/>
        <c:tickLblPos val="nextTo"/>
        <c:crossAx val="1848162527"/>
        <c:crosses val="autoZero"/>
        <c:auto val="1"/>
        <c:lblAlgn val="ctr"/>
        <c:lblOffset val="100"/>
        <c:noMultiLvlLbl val="0"/>
      </c:catAx>
      <c:valAx>
        <c:axId val="1848162527"/>
        <c:scaling>
          <c:orientation val="minMax"/>
        </c:scaling>
        <c:delete val="1"/>
        <c:axPos val="l"/>
        <c:numFmt formatCode="0.0" sourceLinked="1"/>
        <c:majorTickMark val="none"/>
        <c:minorTickMark val="none"/>
        <c:tickLblPos val="nextTo"/>
        <c:crossAx val="1848151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Sheet1!$B$21</c:f>
              <c:strCache>
                <c:ptCount val="1"/>
                <c:pt idx="0">
                  <c:v>Total</c:v>
                </c:pt>
              </c:strCache>
            </c:strRef>
          </c:tx>
          <c:spPr>
            <a:solidFill>
              <a:schemeClr val="accent1"/>
            </a:solidFill>
            <a:ln>
              <a:noFill/>
            </a:ln>
            <a:effectLst/>
          </c:spPr>
          <c:invertIfNegative val="0"/>
          <c:cat>
            <c:strRef>
              <c:f>Sheet1!$A$22:$A$30</c:f>
              <c:strCache>
                <c:ptCount val="8"/>
                <c:pt idx="0">
                  <c:v>Renal</c:v>
                </c:pt>
                <c:pt idx="1">
                  <c:v>Gastroenterology</c:v>
                </c:pt>
                <c:pt idx="2">
                  <c:v>Cardiology</c:v>
                </c:pt>
                <c:pt idx="3">
                  <c:v>Physiotherapy</c:v>
                </c:pt>
                <c:pt idx="4">
                  <c:v>Neurology</c:v>
                </c:pt>
                <c:pt idx="5">
                  <c:v>Orthopedics</c:v>
                </c:pt>
                <c:pt idx="6">
                  <c:v>General Practice</c:v>
                </c:pt>
                <c:pt idx="7">
                  <c:v>None</c:v>
                </c:pt>
              </c:strCache>
            </c:strRef>
          </c:cat>
          <c:val>
            <c:numRef>
              <c:f>Sheet1!$B$22:$B$30</c:f>
              <c:numCache>
                <c:formatCode>0.00</c:formatCode>
                <c:ptCount val="8"/>
                <c:pt idx="0">
                  <c:v>5</c:v>
                </c:pt>
                <c:pt idx="1">
                  <c:v>7</c:v>
                </c:pt>
                <c:pt idx="2">
                  <c:v>7</c:v>
                </c:pt>
                <c:pt idx="3">
                  <c:v>8</c:v>
                </c:pt>
                <c:pt idx="4">
                  <c:v>10</c:v>
                </c:pt>
                <c:pt idx="5">
                  <c:v>44</c:v>
                </c:pt>
                <c:pt idx="6">
                  <c:v>86</c:v>
                </c:pt>
                <c:pt idx="7">
                  <c:v>261</c:v>
                </c:pt>
              </c:numCache>
            </c:numRef>
          </c:val>
          <c:extLst>
            <c:ext xmlns:c16="http://schemas.microsoft.com/office/drawing/2014/chart" uri="{C3380CC4-5D6E-409C-BE32-E72D297353CC}">
              <c16:uniqueId val="{00000000-3D7B-4529-AEC8-F261A4DACB8A}"/>
            </c:ext>
          </c:extLst>
        </c:ser>
        <c:dLbls>
          <c:showLegendKey val="0"/>
          <c:showVal val="0"/>
          <c:showCatName val="0"/>
          <c:showSerName val="0"/>
          <c:showPercent val="0"/>
          <c:showBubbleSize val="0"/>
        </c:dLbls>
        <c:gapWidth val="182"/>
        <c:axId val="255429408"/>
        <c:axId val="255421728"/>
      </c:barChart>
      <c:catAx>
        <c:axId val="25542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5421728"/>
        <c:crosses val="autoZero"/>
        <c:auto val="1"/>
        <c:lblAlgn val="ctr"/>
        <c:lblOffset val="100"/>
        <c:noMultiLvlLbl val="0"/>
      </c:catAx>
      <c:valAx>
        <c:axId val="255421728"/>
        <c:scaling>
          <c:orientation val="minMax"/>
        </c:scaling>
        <c:delete val="0"/>
        <c:axPos val="b"/>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5542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project.xlsx]Sheet1!PivotTable9</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483852050992879"/>
          <c:y val="0.16995788780989038"/>
          <c:w val="0.63471368109365534"/>
          <c:h val="0.69899128039316982"/>
        </c:manualLayout>
      </c:layout>
      <c:doughnutChart>
        <c:varyColors val="1"/>
        <c:ser>
          <c:idx val="0"/>
          <c:order val="0"/>
          <c:tx>
            <c:strRef>
              <c:f>Sheet1!$B$51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778-42F2-A99A-05EADE85404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778-42F2-A99A-05EADE8540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Sheet1!$A$52:$A$54</c:f>
              <c:strCache>
                <c:ptCount val="2"/>
                <c:pt idx="0">
                  <c:v>Delay</c:v>
                </c:pt>
                <c:pt idx="1">
                  <c:v>OnTime</c:v>
                </c:pt>
              </c:strCache>
            </c:strRef>
          </c:cat>
          <c:val>
            <c:numRef>
              <c:f>Sheet1!$B$52:$B$54</c:f>
              <c:numCache>
                <c:formatCode>General</c:formatCode>
                <c:ptCount val="2"/>
                <c:pt idx="0">
                  <c:v>258</c:v>
                </c:pt>
                <c:pt idx="1">
                  <c:v>170</c:v>
                </c:pt>
              </c:numCache>
            </c:numRef>
          </c:val>
          <c:extLst>
            <c:ext xmlns:c16="http://schemas.microsoft.com/office/drawing/2014/chart" uri="{C3380CC4-5D6E-409C-BE32-E72D297353CC}">
              <c16:uniqueId val="{00000004-B778-42F2-A99A-05EADE85404A}"/>
            </c:ext>
          </c:extLst>
        </c:ser>
        <c:dLbls>
          <c:showLegendKey val="0"/>
          <c:showVal val="0"/>
          <c:showCatName val="0"/>
          <c:showSerName val="0"/>
          <c:showPercent val="0"/>
          <c:showBubbleSize val="0"/>
          <c:showLeaderLines val="0"/>
        </c:dLbls>
        <c:firstSliceAng val="0"/>
        <c:holeSize val="47"/>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project.xlsx]Sheet1!PivotTable11</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Sheet1!$B$39</c:f>
              <c:strCache>
                <c:ptCount val="1"/>
                <c:pt idx="0">
                  <c:v>Total</c:v>
                </c:pt>
              </c:strCache>
            </c:strRef>
          </c:tx>
          <c:spPr>
            <a:solidFill>
              <a:schemeClr val="accent1"/>
            </a:solidFill>
            <a:ln>
              <a:noFill/>
            </a:ln>
            <a:effectLst/>
          </c:spPr>
          <c:invertIfNegative val="0"/>
          <c:cat>
            <c:strRef>
              <c:f>Sheet1!$A$40:$A$48</c:f>
              <c:strCache>
                <c:ptCount val="8"/>
                <c:pt idx="0">
                  <c:v>0-09</c:v>
                </c:pt>
                <c:pt idx="1">
                  <c:v>10-19</c:v>
                </c:pt>
                <c:pt idx="2">
                  <c:v>20-29</c:v>
                </c:pt>
                <c:pt idx="3">
                  <c:v>30-39</c:v>
                </c:pt>
                <c:pt idx="4">
                  <c:v>40-49</c:v>
                </c:pt>
                <c:pt idx="5">
                  <c:v>50-59</c:v>
                </c:pt>
                <c:pt idx="6">
                  <c:v>60-69</c:v>
                </c:pt>
                <c:pt idx="7">
                  <c:v>70-79</c:v>
                </c:pt>
              </c:strCache>
            </c:strRef>
          </c:cat>
          <c:val>
            <c:numRef>
              <c:f>Sheet1!$B$40:$B$48</c:f>
              <c:numCache>
                <c:formatCode>0</c:formatCode>
                <c:ptCount val="8"/>
                <c:pt idx="0">
                  <c:v>54</c:v>
                </c:pt>
                <c:pt idx="1">
                  <c:v>46</c:v>
                </c:pt>
                <c:pt idx="2">
                  <c:v>71</c:v>
                </c:pt>
                <c:pt idx="3">
                  <c:v>49</c:v>
                </c:pt>
                <c:pt idx="4">
                  <c:v>56</c:v>
                </c:pt>
                <c:pt idx="5">
                  <c:v>62</c:v>
                </c:pt>
                <c:pt idx="6">
                  <c:v>34</c:v>
                </c:pt>
                <c:pt idx="7">
                  <c:v>56</c:v>
                </c:pt>
              </c:numCache>
            </c:numRef>
          </c:val>
          <c:extLst>
            <c:ext xmlns:c16="http://schemas.microsoft.com/office/drawing/2014/chart" uri="{C3380CC4-5D6E-409C-BE32-E72D297353CC}">
              <c16:uniqueId val="{00000000-DA04-418E-BB75-AE7528EB989B}"/>
            </c:ext>
          </c:extLst>
        </c:ser>
        <c:dLbls>
          <c:showLegendKey val="0"/>
          <c:showVal val="0"/>
          <c:showCatName val="0"/>
          <c:showSerName val="0"/>
          <c:showPercent val="0"/>
          <c:showBubbleSize val="0"/>
        </c:dLbls>
        <c:gapWidth val="72"/>
        <c:overlap val="-27"/>
        <c:axId val="248538496"/>
        <c:axId val="248522656"/>
      </c:barChart>
      <c:catAx>
        <c:axId val="24853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248522656"/>
        <c:crosses val="autoZero"/>
        <c:auto val="1"/>
        <c:lblAlgn val="ctr"/>
        <c:lblOffset val="100"/>
        <c:noMultiLvlLbl val="0"/>
      </c:catAx>
      <c:valAx>
        <c:axId val="248522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4853849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project.xlsx]Sheet1!PivotTable12</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01842946231888E-2"/>
          <c:y val="0"/>
          <c:w val="0.9567193764457268"/>
          <c:h val="0.97313050745258167"/>
        </c:manualLayout>
      </c:layout>
      <c:areaChart>
        <c:grouping val="standard"/>
        <c:varyColors val="0"/>
        <c:ser>
          <c:idx val="0"/>
          <c:order val="0"/>
          <c:tx>
            <c:strRef>
              <c:f>Sheet1!$F$6</c:f>
              <c:strCache>
                <c:ptCount val="1"/>
                <c:pt idx="0">
                  <c:v>Total</c:v>
                </c:pt>
              </c:strCache>
            </c:strRef>
          </c:tx>
          <c:spPr>
            <a:solidFill>
              <a:schemeClr val="accent1"/>
            </a:solidFill>
            <a:ln>
              <a:noFill/>
            </a:ln>
            <a:effectLst/>
          </c:spPr>
          <c:cat>
            <c:strRef>
              <c:f>Sheet1!$E$7:$E$35</c:f>
              <c:strCache>
                <c:ptCount val="28"/>
                <c:pt idx="0">
                  <c:v>4-Jul</c:v>
                </c:pt>
                <c:pt idx="1">
                  <c:v>5-Jul</c:v>
                </c:pt>
                <c:pt idx="2">
                  <c:v>6-Jul</c:v>
                </c:pt>
                <c:pt idx="3">
                  <c:v>7-Jul</c:v>
                </c:pt>
                <c:pt idx="4">
                  <c:v>8-Jul</c:v>
                </c:pt>
                <c:pt idx="5">
                  <c:v>9-Jul</c:v>
                </c:pt>
                <c:pt idx="6">
                  <c:v>10-Jul</c:v>
                </c:pt>
                <c:pt idx="7">
                  <c:v>11-Jul</c:v>
                </c:pt>
                <c:pt idx="8">
                  <c:v>12-Jul</c:v>
                </c:pt>
                <c:pt idx="9">
                  <c:v>13-Jul</c:v>
                </c:pt>
                <c:pt idx="10">
                  <c:v>14-Jul</c:v>
                </c:pt>
                <c:pt idx="11">
                  <c:v>15-Jul</c:v>
                </c:pt>
                <c:pt idx="12">
                  <c:v>16-Jul</c:v>
                </c:pt>
                <c:pt idx="13">
                  <c:v>17-Jul</c:v>
                </c:pt>
                <c:pt idx="14">
                  <c:v>18-Jul</c:v>
                </c:pt>
                <c:pt idx="15">
                  <c:v>19-Jul</c:v>
                </c:pt>
                <c:pt idx="16">
                  <c:v>20-Jul</c:v>
                </c:pt>
                <c:pt idx="17">
                  <c:v>21-Jul</c:v>
                </c:pt>
                <c:pt idx="18">
                  <c:v>22-Jul</c:v>
                </c:pt>
                <c:pt idx="19">
                  <c:v>23-Jul</c:v>
                </c:pt>
                <c:pt idx="20">
                  <c:v>24-Jul</c:v>
                </c:pt>
                <c:pt idx="21">
                  <c:v>25-Jul</c:v>
                </c:pt>
                <c:pt idx="22">
                  <c:v>26-Jul</c:v>
                </c:pt>
                <c:pt idx="23">
                  <c:v>27-Jul</c:v>
                </c:pt>
                <c:pt idx="24">
                  <c:v>28-Jul</c:v>
                </c:pt>
                <c:pt idx="25">
                  <c:v>29-Jul</c:v>
                </c:pt>
                <c:pt idx="26">
                  <c:v>30-Jul</c:v>
                </c:pt>
                <c:pt idx="27">
                  <c:v>31-Jul</c:v>
                </c:pt>
              </c:strCache>
            </c:strRef>
          </c:cat>
          <c:val>
            <c:numRef>
              <c:f>Sheet1!$F$7:$F$35</c:f>
              <c:numCache>
                <c:formatCode>0</c:formatCode>
                <c:ptCount val="28"/>
                <c:pt idx="0">
                  <c:v>11</c:v>
                </c:pt>
                <c:pt idx="1">
                  <c:v>15</c:v>
                </c:pt>
                <c:pt idx="2">
                  <c:v>17</c:v>
                </c:pt>
                <c:pt idx="3">
                  <c:v>15</c:v>
                </c:pt>
                <c:pt idx="4">
                  <c:v>18</c:v>
                </c:pt>
                <c:pt idx="5">
                  <c:v>14</c:v>
                </c:pt>
                <c:pt idx="6">
                  <c:v>15</c:v>
                </c:pt>
                <c:pt idx="7">
                  <c:v>19</c:v>
                </c:pt>
                <c:pt idx="8">
                  <c:v>7</c:v>
                </c:pt>
                <c:pt idx="9">
                  <c:v>20</c:v>
                </c:pt>
                <c:pt idx="10">
                  <c:v>15</c:v>
                </c:pt>
                <c:pt idx="11">
                  <c:v>15</c:v>
                </c:pt>
                <c:pt idx="12">
                  <c:v>14</c:v>
                </c:pt>
                <c:pt idx="13">
                  <c:v>16</c:v>
                </c:pt>
                <c:pt idx="14">
                  <c:v>14</c:v>
                </c:pt>
                <c:pt idx="15">
                  <c:v>16</c:v>
                </c:pt>
                <c:pt idx="16">
                  <c:v>14</c:v>
                </c:pt>
                <c:pt idx="17">
                  <c:v>13</c:v>
                </c:pt>
                <c:pt idx="18">
                  <c:v>19</c:v>
                </c:pt>
                <c:pt idx="19">
                  <c:v>15</c:v>
                </c:pt>
                <c:pt idx="20">
                  <c:v>18</c:v>
                </c:pt>
                <c:pt idx="21">
                  <c:v>14</c:v>
                </c:pt>
                <c:pt idx="22">
                  <c:v>16</c:v>
                </c:pt>
                <c:pt idx="23">
                  <c:v>13</c:v>
                </c:pt>
                <c:pt idx="24">
                  <c:v>12</c:v>
                </c:pt>
                <c:pt idx="25">
                  <c:v>19</c:v>
                </c:pt>
                <c:pt idx="26">
                  <c:v>19</c:v>
                </c:pt>
                <c:pt idx="27">
                  <c:v>15</c:v>
                </c:pt>
              </c:numCache>
            </c:numRef>
          </c:val>
          <c:extLst>
            <c:ext xmlns:c16="http://schemas.microsoft.com/office/drawing/2014/chart" uri="{C3380CC4-5D6E-409C-BE32-E72D297353CC}">
              <c16:uniqueId val="{00000000-0537-4BBD-A26F-107D469A4617}"/>
            </c:ext>
          </c:extLst>
        </c:ser>
        <c:dLbls>
          <c:showLegendKey val="0"/>
          <c:showVal val="0"/>
          <c:showCatName val="0"/>
          <c:showSerName val="0"/>
          <c:showPercent val="0"/>
          <c:showBubbleSize val="0"/>
        </c:dLbls>
        <c:axId val="255442848"/>
        <c:axId val="255421728"/>
      </c:areaChart>
      <c:catAx>
        <c:axId val="255442848"/>
        <c:scaling>
          <c:orientation val="minMax"/>
        </c:scaling>
        <c:delete val="1"/>
        <c:axPos val="b"/>
        <c:numFmt formatCode="General" sourceLinked="1"/>
        <c:majorTickMark val="out"/>
        <c:minorTickMark val="none"/>
        <c:tickLblPos val="nextTo"/>
        <c:crossAx val="255421728"/>
        <c:crosses val="autoZero"/>
        <c:auto val="1"/>
        <c:lblAlgn val="ctr"/>
        <c:lblOffset val="100"/>
        <c:noMultiLvlLbl val="0"/>
      </c:catAx>
      <c:valAx>
        <c:axId val="255421728"/>
        <c:scaling>
          <c:orientation val="minMax"/>
        </c:scaling>
        <c:delete val="1"/>
        <c:axPos val="l"/>
        <c:numFmt formatCode="0" sourceLinked="1"/>
        <c:majorTickMark val="none"/>
        <c:minorTickMark val="none"/>
        <c:tickLblPos val="nextTo"/>
        <c:crossAx val="2554428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project.xlsx]Sheet1!PivotTable13</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21619793323765174"/>
              <c:y val="-1.909339181378457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2039972831480375"/>
              <c:y val="4.140256367788522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46303587051624"/>
          <c:y val="0.13316759375058335"/>
          <c:w val="0.54606231006222627"/>
          <c:h val="0.66189336908571506"/>
        </c:manualLayout>
      </c:layout>
      <c:pieChart>
        <c:varyColors val="1"/>
        <c:ser>
          <c:idx val="0"/>
          <c:order val="0"/>
          <c:tx>
            <c:strRef>
              <c:f>Sheet1!$B$33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44F-4DB9-A7A5-F4AE6C84E0D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4F-4DB9-A7A5-F4AE6C84E0DF}"/>
              </c:ext>
            </c:extLst>
          </c:dPt>
          <c:dLbls>
            <c:dLbl>
              <c:idx val="0"/>
              <c:layout>
                <c:manualLayout>
                  <c:x val="-0.21619793323765174"/>
                  <c:y val="-1.90933918137845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4F-4DB9-A7A5-F4AE6C84E0DF}"/>
                </c:ext>
              </c:extLst>
            </c:dLbl>
            <c:dLbl>
              <c:idx val="1"/>
              <c:layout>
                <c:manualLayout>
                  <c:x val="0.2039972831480375"/>
                  <c:y val="4.1402563677885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44F-4DB9-A7A5-F4AE6C84E0D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Sheet1!$A$34:$A$36</c:f>
              <c:strCache>
                <c:ptCount val="2"/>
                <c:pt idx="0">
                  <c:v>Female</c:v>
                </c:pt>
                <c:pt idx="1">
                  <c:v>Male</c:v>
                </c:pt>
              </c:strCache>
            </c:strRef>
          </c:cat>
          <c:val>
            <c:numRef>
              <c:f>Sheet1!$B$34:$B$36</c:f>
              <c:numCache>
                <c:formatCode>0</c:formatCode>
                <c:ptCount val="2"/>
                <c:pt idx="0">
                  <c:v>218</c:v>
                </c:pt>
                <c:pt idx="1">
                  <c:v>210</c:v>
                </c:pt>
              </c:numCache>
            </c:numRef>
          </c:val>
          <c:extLst>
            <c:ext xmlns:c16="http://schemas.microsoft.com/office/drawing/2014/chart" uri="{C3380CC4-5D6E-409C-BE32-E72D297353CC}">
              <c16:uniqueId val="{00000004-D44F-4DB9-A7A5-F4AE6C84E0DF}"/>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0814836166047129"/>
          <c:y val="2.8355934674832339E-2"/>
          <c:w val="0.61896300832509665"/>
          <c:h val="0.1190962932694690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project.xlsx]Sheet1!PivotTable6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Sheet1!$I$8</c:f>
              <c:strCache>
                <c:ptCount val="1"/>
                <c:pt idx="0">
                  <c:v>Total</c:v>
                </c:pt>
              </c:strCache>
            </c:strRef>
          </c:tx>
          <c:spPr>
            <a:solidFill>
              <a:schemeClr val="accent1"/>
            </a:solidFill>
            <a:ln>
              <a:noFill/>
            </a:ln>
            <a:effectLst/>
          </c:spPr>
          <c:cat>
            <c:strRef>
              <c:f>Sheet1!$H$9:$H$37</c:f>
              <c:strCache>
                <c:ptCount val="28"/>
                <c:pt idx="0">
                  <c:v>4-Jul</c:v>
                </c:pt>
                <c:pt idx="1">
                  <c:v>5-Jul</c:v>
                </c:pt>
                <c:pt idx="2">
                  <c:v>6-Jul</c:v>
                </c:pt>
                <c:pt idx="3">
                  <c:v>7-Jul</c:v>
                </c:pt>
                <c:pt idx="4">
                  <c:v>8-Jul</c:v>
                </c:pt>
                <c:pt idx="5">
                  <c:v>9-Jul</c:v>
                </c:pt>
                <c:pt idx="6">
                  <c:v>10-Jul</c:v>
                </c:pt>
                <c:pt idx="7">
                  <c:v>11-Jul</c:v>
                </c:pt>
                <c:pt idx="8">
                  <c:v>12-Jul</c:v>
                </c:pt>
                <c:pt idx="9">
                  <c:v>13-Jul</c:v>
                </c:pt>
                <c:pt idx="10">
                  <c:v>14-Jul</c:v>
                </c:pt>
                <c:pt idx="11">
                  <c:v>15-Jul</c:v>
                </c:pt>
                <c:pt idx="12">
                  <c:v>16-Jul</c:v>
                </c:pt>
                <c:pt idx="13">
                  <c:v>17-Jul</c:v>
                </c:pt>
                <c:pt idx="14">
                  <c:v>18-Jul</c:v>
                </c:pt>
                <c:pt idx="15">
                  <c:v>19-Jul</c:v>
                </c:pt>
                <c:pt idx="16">
                  <c:v>20-Jul</c:v>
                </c:pt>
                <c:pt idx="17">
                  <c:v>21-Jul</c:v>
                </c:pt>
                <c:pt idx="18">
                  <c:v>22-Jul</c:v>
                </c:pt>
                <c:pt idx="19">
                  <c:v>23-Jul</c:v>
                </c:pt>
                <c:pt idx="20">
                  <c:v>24-Jul</c:v>
                </c:pt>
                <c:pt idx="21">
                  <c:v>25-Jul</c:v>
                </c:pt>
                <c:pt idx="22">
                  <c:v>26-Jul</c:v>
                </c:pt>
                <c:pt idx="23">
                  <c:v>27-Jul</c:v>
                </c:pt>
                <c:pt idx="24">
                  <c:v>28-Jul</c:v>
                </c:pt>
                <c:pt idx="25">
                  <c:v>29-Jul</c:v>
                </c:pt>
                <c:pt idx="26">
                  <c:v>30-Jul</c:v>
                </c:pt>
                <c:pt idx="27">
                  <c:v>31-Jul</c:v>
                </c:pt>
              </c:strCache>
            </c:strRef>
          </c:cat>
          <c:val>
            <c:numRef>
              <c:f>Sheet1!$I$9:$I$37</c:f>
              <c:numCache>
                <c:formatCode>0.0</c:formatCode>
                <c:ptCount val="28"/>
                <c:pt idx="0">
                  <c:v>33.81818181818182</c:v>
                </c:pt>
                <c:pt idx="1">
                  <c:v>34.93333333333333</c:v>
                </c:pt>
                <c:pt idx="2">
                  <c:v>35</c:v>
                </c:pt>
                <c:pt idx="3">
                  <c:v>38.333333333333336</c:v>
                </c:pt>
                <c:pt idx="4">
                  <c:v>43.666666666666664</c:v>
                </c:pt>
                <c:pt idx="5">
                  <c:v>34.5</c:v>
                </c:pt>
                <c:pt idx="6">
                  <c:v>34.133333333333333</c:v>
                </c:pt>
                <c:pt idx="7">
                  <c:v>36.578947368421055</c:v>
                </c:pt>
                <c:pt idx="8">
                  <c:v>43.142857142857146</c:v>
                </c:pt>
                <c:pt idx="9">
                  <c:v>31.1</c:v>
                </c:pt>
                <c:pt idx="10">
                  <c:v>34.333333333333336</c:v>
                </c:pt>
                <c:pt idx="11">
                  <c:v>28.6</c:v>
                </c:pt>
                <c:pt idx="12">
                  <c:v>32</c:v>
                </c:pt>
                <c:pt idx="13">
                  <c:v>37.625</c:v>
                </c:pt>
                <c:pt idx="14">
                  <c:v>37.785714285714285</c:v>
                </c:pt>
                <c:pt idx="15">
                  <c:v>36.375</c:v>
                </c:pt>
                <c:pt idx="16">
                  <c:v>38.857142857142854</c:v>
                </c:pt>
                <c:pt idx="17">
                  <c:v>37</c:v>
                </c:pt>
                <c:pt idx="18">
                  <c:v>33</c:v>
                </c:pt>
                <c:pt idx="19">
                  <c:v>33.333333333333336</c:v>
                </c:pt>
                <c:pt idx="20">
                  <c:v>36.944444444444443</c:v>
                </c:pt>
                <c:pt idx="21">
                  <c:v>34.357142857142854</c:v>
                </c:pt>
                <c:pt idx="22">
                  <c:v>39</c:v>
                </c:pt>
                <c:pt idx="23">
                  <c:v>32</c:v>
                </c:pt>
                <c:pt idx="24">
                  <c:v>33.5</c:v>
                </c:pt>
                <c:pt idx="25">
                  <c:v>37.89473684210526</c:v>
                </c:pt>
                <c:pt idx="26">
                  <c:v>32</c:v>
                </c:pt>
                <c:pt idx="27">
                  <c:v>35.133333333333333</c:v>
                </c:pt>
              </c:numCache>
            </c:numRef>
          </c:val>
          <c:extLst>
            <c:ext xmlns:c16="http://schemas.microsoft.com/office/drawing/2014/chart" uri="{C3380CC4-5D6E-409C-BE32-E72D297353CC}">
              <c16:uniqueId val="{00000000-31A4-49BF-91C6-1B677829480F}"/>
            </c:ext>
          </c:extLst>
        </c:ser>
        <c:dLbls>
          <c:showLegendKey val="0"/>
          <c:showVal val="0"/>
          <c:showCatName val="0"/>
          <c:showSerName val="0"/>
          <c:showPercent val="0"/>
          <c:showBubbleSize val="0"/>
        </c:dLbls>
        <c:axId val="1848151487"/>
        <c:axId val="1848162527"/>
      </c:areaChart>
      <c:catAx>
        <c:axId val="1848151487"/>
        <c:scaling>
          <c:orientation val="minMax"/>
        </c:scaling>
        <c:delete val="1"/>
        <c:axPos val="b"/>
        <c:numFmt formatCode="General" sourceLinked="1"/>
        <c:majorTickMark val="out"/>
        <c:minorTickMark val="none"/>
        <c:tickLblPos val="nextTo"/>
        <c:crossAx val="1848162527"/>
        <c:crosses val="autoZero"/>
        <c:auto val="1"/>
        <c:lblAlgn val="ctr"/>
        <c:lblOffset val="100"/>
        <c:noMultiLvlLbl val="0"/>
      </c:catAx>
      <c:valAx>
        <c:axId val="1848162527"/>
        <c:scaling>
          <c:orientation val="minMax"/>
        </c:scaling>
        <c:delete val="1"/>
        <c:axPos val="l"/>
        <c:numFmt formatCode="0.0" sourceLinked="1"/>
        <c:majorTickMark val="none"/>
        <c:minorTickMark val="none"/>
        <c:tickLblPos val="nextTo"/>
        <c:crossAx val="1848151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6.svg"/><Relationship Id="rId12"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5.png"/><Relationship Id="rId11" Type="http://schemas.openxmlformats.org/officeDocument/2006/relationships/chart" Target="../charts/chart4.xml"/><Relationship Id="rId5" Type="http://schemas.openxmlformats.org/officeDocument/2006/relationships/chart" Target="../charts/chart2.xml"/><Relationship Id="rId15" Type="http://schemas.openxmlformats.org/officeDocument/2006/relationships/chart" Target="../charts/chart7.xml"/><Relationship Id="rId10" Type="http://schemas.openxmlformats.org/officeDocument/2006/relationships/chart" Target="../charts/chart3.xml"/><Relationship Id="rId4" Type="http://schemas.openxmlformats.org/officeDocument/2006/relationships/image" Target="../media/image4.svg"/><Relationship Id="rId9" Type="http://schemas.openxmlformats.org/officeDocument/2006/relationships/image" Target="../media/image8.svg"/><Relationship Id="rId14" Type="http://schemas.openxmlformats.org/officeDocument/2006/relationships/image" Target="../media/image9.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xdr:from>
      <xdr:col>5</xdr:col>
      <xdr:colOff>12370</xdr:colOff>
      <xdr:row>1</xdr:row>
      <xdr:rowOff>136071</xdr:rowOff>
    </xdr:from>
    <xdr:to>
      <xdr:col>6</xdr:col>
      <xdr:colOff>86591</xdr:colOff>
      <xdr:row>3</xdr:row>
      <xdr:rowOff>160812</xdr:rowOff>
    </xdr:to>
    <xdr:graphicFrame macro="">
      <xdr:nvGraphicFramePr>
        <xdr:cNvPr id="8" name="Chart 7">
          <a:extLst>
            <a:ext uri="{FF2B5EF4-FFF2-40B4-BE49-F238E27FC236}">
              <a16:creationId xmlns:a16="http://schemas.microsoft.com/office/drawing/2014/main" id="{C6FFD057-DA6F-458A-B9CB-C7FEA1DB0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594221</xdr:colOff>
      <xdr:row>9</xdr:row>
      <xdr:rowOff>35175</xdr:rowOff>
    </xdr:from>
    <xdr:to>
      <xdr:col>9</xdr:col>
      <xdr:colOff>158749</xdr:colOff>
      <xdr:row>11</xdr:row>
      <xdr:rowOff>149087</xdr:rowOff>
    </xdr:to>
    <xdr:sp macro="" textlink="">
      <xdr:nvSpPr>
        <xdr:cNvPr id="11" name="Rectangle: Rounded Corners 10">
          <a:extLst>
            <a:ext uri="{FF2B5EF4-FFF2-40B4-BE49-F238E27FC236}">
              <a16:creationId xmlns:a16="http://schemas.microsoft.com/office/drawing/2014/main" id="{5F8172DE-CEEA-2CF6-A613-23EC7C2FFC2D}"/>
            </a:ext>
          </a:extLst>
        </xdr:cNvPr>
        <xdr:cNvSpPr/>
      </xdr:nvSpPr>
      <xdr:spPr>
        <a:xfrm>
          <a:off x="1207134" y="1749675"/>
          <a:ext cx="4467832" cy="494912"/>
        </a:xfrm>
        <a:prstGeom prst="roundRect">
          <a:avLst>
            <a:gd name="adj" fmla="val 5316"/>
          </a:avLst>
        </a:prstGeom>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800">
            <a:solidFill>
              <a:schemeClr val="accent1">
                <a:lumMod val="75000"/>
              </a:schemeClr>
            </a:solidFill>
          </a:endParaRPr>
        </a:p>
        <a:p>
          <a:pPr algn="l"/>
          <a:endParaRPr lang="en-US" sz="800">
            <a:solidFill>
              <a:schemeClr val="accent1">
                <a:lumMod val="75000"/>
              </a:schemeClr>
            </a:solidFill>
          </a:endParaRPr>
        </a:p>
      </xdr:txBody>
    </xdr:sp>
    <xdr:clientData/>
  </xdr:twoCellAnchor>
  <xdr:twoCellAnchor>
    <xdr:from>
      <xdr:col>0</xdr:col>
      <xdr:colOff>175651</xdr:colOff>
      <xdr:row>0</xdr:row>
      <xdr:rowOff>123707</xdr:rowOff>
    </xdr:from>
    <xdr:to>
      <xdr:col>7</xdr:col>
      <xdr:colOff>151251</xdr:colOff>
      <xdr:row>3</xdr:row>
      <xdr:rowOff>181702</xdr:rowOff>
    </xdr:to>
    <xdr:sp macro="" textlink="">
      <xdr:nvSpPr>
        <xdr:cNvPr id="2" name="Rectangle: Rounded Corners 1">
          <a:extLst>
            <a:ext uri="{FF2B5EF4-FFF2-40B4-BE49-F238E27FC236}">
              <a16:creationId xmlns:a16="http://schemas.microsoft.com/office/drawing/2014/main" id="{907F66DA-27AB-444A-FF17-4473F31F1CF2}"/>
            </a:ext>
          </a:extLst>
        </xdr:cNvPr>
        <xdr:cNvSpPr/>
      </xdr:nvSpPr>
      <xdr:spPr>
        <a:xfrm>
          <a:off x="175651" y="123707"/>
          <a:ext cx="4242800" cy="629495"/>
        </a:xfrm>
        <a:prstGeom prst="roundRect">
          <a:avLst>
            <a:gd name="adj" fmla="val 9204"/>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2800">
              <a:solidFill>
                <a:schemeClr val="accent1">
                  <a:lumMod val="75000"/>
                </a:schemeClr>
              </a:solidFill>
            </a:rPr>
            <a:t> </a:t>
          </a:r>
          <a:r>
            <a:rPr lang="en-US" sz="2800" baseline="0">
              <a:solidFill>
                <a:schemeClr val="accent1">
                  <a:lumMod val="75000"/>
                </a:schemeClr>
              </a:solidFill>
            </a:rPr>
            <a:t>       </a:t>
          </a:r>
          <a:r>
            <a:rPr lang="en-US" sz="2400" baseline="0">
              <a:solidFill>
                <a:schemeClr val="accent1">
                  <a:lumMod val="75000"/>
                </a:schemeClr>
              </a:solidFill>
            </a:rPr>
            <a:t> </a:t>
          </a:r>
          <a:r>
            <a:rPr lang="en-US" sz="2000">
              <a:solidFill>
                <a:sysClr val="windowText" lastClr="000000"/>
              </a:solidFill>
            </a:rPr>
            <a:t>Hospital</a:t>
          </a:r>
          <a:r>
            <a:rPr lang="en-US" sz="2000" baseline="0">
              <a:solidFill>
                <a:sysClr val="windowText" lastClr="000000"/>
              </a:solidFill>
            </a:rPr>
            <a:t> Emergency Dashboard</a:t>
          </a:r>
          <a:endParaRPr lang="en-US" sz="2400">
            <a:solidFill>
              <a:sysClr val="windowText" lastClr="000000"/>
            </a:solidFill>
          </a:endParaRPr>
        </a:p>
      </xdr:txBody>
    </xdr:sp>
    <xdr:clientData/>
  </xdr:twoCellAnchor>
  <xdr:twoCellAnchor>
    <xdr:from>
      <xdr:col>9</xdr:col>
      <xdr:colOff>231187</xdr:colOff>
      <xdr:row>0</xdr:row>
      <xdr:rowOff>114181</xdr:rowOff>
    </xdr:from>
    <xdr:to>
      <xdr:col>12</xdr:col>
      <xdr:colOff>427181</xdr:colOff>
      <xdr:row>9</xdr:row>
      <xdr:rowOff>66222</xdr:rowOff>
    </xdr:to>
    <xdr:sp macro="" textlink="">
      <xdr:nvSpPr>
        <xdr:cNvPr id="3" name="Rectangle: Rounded Corners 2">
          <a:extLst>
            <a:ext uri="{FF2B5EF4-FFF2-40B4-BE49-F238E27FC236}">
              <a16:creationId xmlns:a16="http://schemas.microsoft.com/office/drawing/2014/main" id="{13D17404-EC54-FC5E-B62B-C44193B02567}"/>
            </a:ext>
          </a:extLst>
        </xdr:cNvPr>
        <xdr:cNvSpPr/>
      </xdr:nvSpPr>
      <xdr:spPr>
        <a:xfrm>
          <a:off x="5755687" y="114181"/>
          <a:ext cx="2037494" cy="1666541"/>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800">
            <a:solidFill>
              <a:schemeClr val="accent1">
                <a:lumMod val="75000"/>
              </a:schemeClr>
            </a:solidFill>
          </a:endParaRPr>
        </a:p>
      </xdr:txBody>
    </xdr:sp>
    <xdr:clientData/>
  </xdr:twoCellAnchor>
  <xdr:twoCellAnchor>
    <xdr:from>
      <xdr:col>7</xdr:col>
      <xdr:colOff>173061</xdr:colOff>
      <xdr:row>0</xdr:row>
      <xdr:rowOff>105055</xdr:rowOff>
    </xdr:from>
    <xdr:to>
      <xdr:col>9</xdr:col>
      <xdr:colOff>190879</xdr:colOff>
      <xdr:row>3</xdr:row>
      <xdr:rowOff>181300</xdr:rowOff>
    </xdr:to>
    <xdr:sp macro="" textlink="">
      <xdr:nvSpPr>
        <xdr:cNvPr id="4" name="Rectangle: Rounded Corners 3">
          <a:extLst>
            <a:ext uri="{FF2B5EF4-FFF2-40B4-BE49-F238E27FC236}">
              <a16:creationId xmlns:a16="http://schemas.microsoft.com/office/drawing/2014/main" id="{2CFDBBFD-AE30-BE7D-AD21-A5194722BF94}"/>
            </a:ext>
          </a:extLst>
        </xdr:cNvPr>
        <xdr:cNvSpPr/>
      </xdr:nvSpPr>
      <xdr:spPr>
        <a:xfrm>
          <a:off x="4469894" y="105055"/>
          <a:ext cx="1245485" cy="647745"/>
        </a:xfrm>
        <a:prstGeom prst="roundRect">
          <a:avLst>
            <a:gd name="adj" fmla="val 10870"/>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800">
            <a:solidFill>
              <a:schemeClr val="accent1">
                <a:lumMod val="75000"/>
              </a:schemeClr>
            </a:solidFill>
          </a:endParaRPr>
        </a:p>
      </xdr:txBody>
    </xdr:sp>
    <xdr:clientData/>
  </xdr:twoCellAnchor>
  <xdr:twoCellAnchor>
    <xdr:from>
      <xdr:col>12</xdr:col>
      <xdr:colOff>467484</xdr:colOff>
      <xdr:row>0</xdr:row>
      <xdr:rowOff>114181</xdr:rowOff>
    </xdr:from>
    <xdr:to>
      <xdr:col>15</xdr:col>
      <xdr:colOff>447755</xdr:colOff>
      <xdr:row>9</xdr:row>
      <xdr:rowOff>57097</xdr:rowOff>
    </xdr:to>
    <xdr:sp macro="" textlink="">
      <xdr:nvSpPr>
        <xdr:cNvPr id="5" name="Rectangle: Rounded Corners 4">
          <a:extLst>
            <a:ext uri="{FF2B5EF4-FFF2-40B4-BE49-F238E27FC236}">
              <a16:creationId xmlns:a16="http://schemas.microsoft.com/office/drawing/2014/main" id="{BD86C92B-D2B1-96C2-4F25-49CE22F2B3E0}"/>
            </a:ext>
          </a:extLst>
        </xdr:cNvPr>
        <xdr:cNvSpPr/>
      </xdr:nvSpPr>
      <xdr:spPr>
        <a:xfrm>
          <a:off x="7833484" y="114181"/>
          <a:ext cx="1821771" cy="1657416"/>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800">
            <a:solidFill>
              <a:schemeClr val="accent1">
                <a:lumMod val="75000"/>
              </a:schemeClr>
            </a:solidFill>
          </a:endParaRPr>
        </a:p>
        <a:p>
          <a:pPr algn="l"/>
          <a:endParaRPr lang="en-US" sz="800">
            <a:solidFill>
              <a:schemeClr val="accent1">
                <a:lumMod val="75000"/>
              </a:schemeClr>
            </a:solidFill>
          </a:endParaRPr>
        </a:p>
      </xdr:txBody>
    </xdr:sp>
    <xdr:clientData/>
  </xdr:twoCellAnchor>
  <xdr:twoCellAnchor>
    <xdr:from>
      <xdr:col>0</xdr:col>
      <xdr:colOff>147076</xdr:colOff>
      <xdr:row>4</xdr:row>
      <xdr:rowOff>36429</xdr:rowOff>
    </xdr:from>
    <xdr:to>
      <xdr:col>1</xdr:col>
      <xdr:colOff>536875</xdr:colOff>
      <xdr:row>20</xdr:row>
      <xdr:rowOff>81311</xdr:rowOff>
    </xdr:to>
    <xdr:sp macro="" textlink="">
      <xdr:nvSpPr>
        <xdr:cNvPr id="6" name="Rectangle: Rounded Corners 5">
          <a:extLst>
            <a:ext uri="{FF2B5EF4-FFF2-40B4-BE49-F238E27FC236}">
              <a16:creationId xmlns:a16="http://schemas.microsoft.com/office/drawing/2014/main" id="{FB218A75-0418-87CC-890F-2CDF708AE7B9}"/>
            </a:ext>
          </a:extLst>
        </xdr:cNvPr>
        <xdr:cNvSpPr/>
      </xdr:nvSpPr>
      <xdr:spPr>
        <a:xfrm>
          <a:off x="147076" y="798429"/>
          <a:ext cx="1003632" cy="3092882"/>
        </a:xfrm>
        <a:prstGeom prst="roundRect">
          <a:avLst>
            <a:gd name="adj" fmla="val 9204"/>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2000">
            <a:solidFill>
              <a:schemeClr val="accent1">
                <a:lumMod val="75000"/>
              </a:schemeClr>
            </a:solidFill>
          </a:endParaRPr>
        </a:p>
      </xdr:txBody>
    </xdr:sp>
    <xdr:clientData/>
  </xdr:twoCellAnchor>
  <xdr:twoCellAnchor>
    <xdr:from>
      <xdr:col>1</xdr:col>
      <xdr:colOff>587259</xdr:colOff>
      <xdr:row>4</xdr:row>
      <xdr:rowOff>45554</xdr:rowOff>
    </xdr:from>
    <xdr:to>
      <xdr:col>4</xdr:col>
      <xdr:colOff>209207</xdr:colOff>
      <xdr:row>8</xdr:row>
      <xdr:rowOff>186812</xdr:rowOff>
    </xdr:to>
    <xdr:sp macro="" textlink="Sheet1!A9">
      <xdr:nvSpPr>
        <xdr:cNvPr id="7" name="Rectangle: Rounded Corners 6">
          <a:extLst>
            <a:ext uri="{FF2B5EF4-FFF2-40B4-BE49-F238E27FC236}">
              <a16:creationId xmlns:a16="http://schemas.microsoft.com/office/drawing/2014/main" id="{B42131C7-557F-A034-3784-CA4E41EFBCB9}"/>
            </a:ext>
          </a:extLst>
        </xdr:cNvPr>
        <xdr:cNvSpPr/>
      </xdr:nvSpPr>
      <xdr:spPr>
        <a:xfrm>
          <a:off x="1201092" y="807554"/>
          <a:ext cx="1463448" cy="903258"/>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1100" b="0" i="0" u="none" strike="noStrike" baseline="0">
              <a:solidFill>
                <a:srgbClr val="000000"/>
              </a:solidFill>
              <a:latin typeface="Calibri"/>
              <a:cs typeface="Calibri"/>
            </a:rPr>
            <a:t>             </a:t>
          </a:r>
          <a:fld id="{DF851C07-4D7D-4E5F-99EE-D206D13FB590}" type="TxLink">
            <a:rPr lang="en-US" sz="1400" b="1" i="0" u="none" strike="noStrike" baseline="0">
              <a:solidFill>
                <a:srgbClr val="000000"/>
              </a:solidFill>
              <a:latin typeface="Calibri"/>
              <a:cs typeface="Calibri"/>
            </a:rPr>
            <a:pPr algn="l"/>
            <a:t>4.80</a:t>
          </a:fld>
          <a:endParaRPr lang="en-US" sz="1400" b="1" i="0" u="none" strike="noStrike" baseline="0">
            <a:solidFill>
              <a:srgbClr val="000000"/>
            </a:solidFill>
            <a:latin typeface="Calibri"/>
            <a:cs typeface="Calibri"/>
          </a:endParaRPr>
        </a:p>
        <a:p>
          <a:pPr algn="l"/>
          <a:r>
            <a:rPr lang="en-US" sz="800" b="0" i="0" u="none" strike="noStrike" baseline="0">
              <a:solidFill>
                <a:srgbClr val="000000"/>
              </a:solidFill>
              <a:latin typeface="Calibri"/>
              <a:cs typeface="Calibri"/>
            </a:rPr>
            <a:t>    </a:t>
          </a:r>
          <a:r>
            <a:rPr lang="en-US" sz="1000" b="0" i="0" u="none" strike="noStrike" baseline="0">
              <a:solidFill>
                <a:srgbClr val="000000"/>
              </a:solidFill>
              <a:latin typeface="Calibri"/>
              <a:cs typeface="Calibri"/>
            </a:rPr>
            <a:t>Patient  satisfaction </a:t>
          </a:r>
        </a:p>
        <a:p>
          <a:pPr algn="l"/>
          <a:r>
            <a:rPr lang="en-US" sz="1000" b="0" i="0" u="none" strike="noStrike" baseline="0">
              <a:solidFill>
                <a:srgbClr val="000000"/>
              </a:solidFill>
              <a:latin typeface="Calibri"/>
              <a:cs typeface="Calibri"/>
            </a:rPr>
            <a:t>                score</a:t>
          </a:r>
          <a:endParaRPr lang="en-US" sz="600" baseline="0">
            <a:solidFill>
              <a:schemeClr val="accent1">
                <a:lumMod val="75000"/>
              </a:schemeClr>
            </a:solidFill>
          </a:endParaRPr>
        </a:p>
      </xdr:txBody>
    </xdr:sp>
    <xdr:clientData/>
  </xdr:twoCellAnchor>
  <xdr:twoCellAnchor>
    <xdr:from>
      <xdr:col>4</xdr:col>
      <xdr:colOff>262472</xdr:colOff>
      <xdr:row>4</xdr:row>
      <xdr:rowOff>45554</xdr:rowOff>
    </xdr:from>
    <xdr:to>
      <xdr:col>6</xdr:col>
      <xdr:colOff>492276</xdr:colOff>
      <xdr:row>8</xdr:row>
      <xdr:rowOff>186812</xdr:rowOff>
    </xdr:to>
    <xdr:sp macro="" textlink="Sheet1!A6">
      <xdr:nvSpPr>
        <xdr:cNvPr id="8" name="Rectangle: Rounded Corners 7">
          <a:extLst>
            <a:ext uri="{FF2B5EF4-FFF2-40B4-BE49-F238E27FC236}">
              <a16:creationId xmlns:a16="http://schemas.microsoft.com/office/drawing/2014/main" id="{5AE06921-8D9E-E3DF-8808-33C612C26BC8}"/>
            </a:ext>
          </a:extLst>
        </xdr:cNvPr>
        <xdr:cNvSpPr/>
      </xdr:nvSpPr>
      <xdr:spPr>
        <a:xfrm>
          <a:off x="2700872" y="807554"/>
          <a:ext cx="1449004" cy="903258"/>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1100" b="0" i="0" u="none" strike="noStrike">
              <a:solidFill>
                <a:srgbClr val="000000"/>
              </a:solidFill>
              <a:latin typeface="Calibri"/>
              <a:cs typeface="Calibri"/>
            </a:rPr>
            <a:t>        </a:t>
          </a:r>
          <a:r>
            <a:rPr lang="en-US" sz="1100" b="0" i="0" u="none" strike="noStrike" baseline="0">
              <a:solidFill>
                <a:srgbClr val="000000"/>
              </a:solidFill>
              <a:latin typeface="Calibri"/>
              <a:cs typeface="Calibri"/>
            </a:rPr>
            <a:t> </a:t>
          </a:r>
          <a:fld id="{7DFDA8AE-0E21-4537-AF71-A9DE5FA22E8D}" type="TxLink">
            <a:rPr lang="en-US" sz="1400" b="1" i="0" u="none" strike="noStrike">
              <a:solidFill>
                <a:srgbClr val="000000"/>
              </a:solidFill>
              <a:latin typeface="Calibri"/>
              <a:cs typeface="Calibri"/>
            </a:rPr>
            <a:pPr algn="l"/>
            <a:t>35.27</a:t>
          </a:fld>
          <a:endParaRPr lang="en-US" sz="1400" b="1" i="0" u="none" strike="noStrike">
            <a:solidFill>
              <a:srgbClr val="000000"/>
            </a:solidFill>
            <a:latin typeface="Calibri"/>
            <a:cs typeface="Calibri"/>
          </a:endParaRPr>
        </a:p>
        <a:p>
          <a:pPr algn="l"/>
          <a:r>
            <a:rPr lang="en-US" sz="1050" b="1" i="0" u="none" strike="noStrike">
              <a:solidFill>
                <a:srgbClr val="000000"/>
              </a:solidFill>
              <a:latin typeface="Calibri"/>
              <a:cs typeface="Calibri"/>
            </a:rPr>
            <a:t> </a:t>
          </a:r>
          <a:r>
            <a:rPr lang="en-US" sz="900" b="0" i="0" u="none" strike="noStrike">
              <a:solidFill>
                <a:srgbClr val="000000"/>
              </a:solidFill>
              <a:latin typeface="Calibri"/>
              <a:cs typeface="Calibri"/>
            </a:rPr>
            <a:t>    </a:t>
          </a:r>
          <a:r>
            <a:rPr lang="en-US" sz="1100" b="0" i="0" u="none" strike="noStrike">
              <a:solidFill>
                <a:srgbClr val="000000"/>
              </a:solidFill>
              <a:latin typeface="Calibri"/>
              <a:cs typeface="Calibri"/>
            </a:rPr>
            <a:t> Patient</a:t>
          </a:r>
          <a:r>
            <a:rPr lang="en-US" sz="1100" b="0" i="0" u="none" strike="noStrike" baseline="0">
              <a:solidFill>
                <a:srgbClr val="000000"/>
              </a:solidFill>
              <a:latin typeface="Calibri"/>
              <a:cs typeface="Calibri"/>
            </a:rPr>
            <a:t> Wait     </a:t>
          </a:r>
        </a:p>
        <a:p>
          <a:pPr algn="l"/>
          <a:r>
            <a:rPr lang="en-US" sz="1100" b="0" i="0" u="none" strike="noStrike" baseline="0">
              <a:solidFill>
                <a:srgbClr val="000000"/>
              </a:solidFill>
              <a:latin typeface="Calibri"/>
              <a:cs typeface="Calibri"/>
            </a:rPr>
            <a:t>            Time</a:t>
          </a:r>
          <a:endParaRPr lang="en-US" sz="800">
            <a:solidFill>
              <a:schemeClr val="accent1">
                <a:lumMod val="75000"/>
              </a:schemeClr>
            </a:solidFill>
          </a:endParaRPr>
        </a:p>
      </xdr:txBody>
    </xdr:sp>
    <xdr:clientData/>
  </xdr:twoCellAnchor>
  <xdr:twoCellAnchor>
    <xdr:from>
      <xdr:col>6</xdr:col>
      <xdr:colOff>558855</xdr:colOff>
      <xdr:row>4</xdr:row>
      <xdr:rowOff>45554</xdr:rowOff>
    </xdr:from>
    <xdr:to>
      <xdr:col>9</xdr:col>
      <xdr:colOff>180803</xdr:colOff>
      <xdr:row>8</xdr:row>
      <xdr:rowOff>186812</xdr:rowOff>
    </xdr:to>
    <xdr:sp macro="" textlink="Sheet1!A3">
      <xdr:nvSpPr>
        <xdr:cNvPr id="9" name="Rectangle: Rounded Corners 8">
          <a:extLst>
            <a:ext uri="{FF2B5EF4-FFF2-40B4-BE49-F238E27FC236}">
              <a16:creationId xmlns:a16="http://schemas.microsoft.com/office/drawing/2014/main" id="{AD9F15B5-419F-2E3C-1027-F374F942E5A2}"/>
            </a:ext>
          </a:extLst>
        </xdr:cNvPr>
        <xdr:cNvSpPr/>
      </xdr:nvSpPr>
      <xdr:spPr>
        <a:xfrm>
          <a:off x="4241855" y="807554"/>
          <a:ext cx="1463448" cy="903258"/>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r>
            <a:rPr lang="en-US" sz="1100" b="0" i="0" u="none" strike="noStrike">
              <a:solidFill>
                <a:srgbClr val="000000"/>
              </a:solidFill>
              <a:latin typeface="Calibri"/>
              <a:cs typeface="Calibri"/>
            </a:rPr>
            <a:t>          </a:t>
          </a:r>
          <a:fld id="{C88E339E-3216-41FF-B39B-9CD9F1CD0F85}" type="TxLink">
            <a:rPr lang="en-US" sz="1600" b="1" i="0" u="none" strike="noStrike">
              <a:solidFill>
                <a:sysClr val="windowText" lastClr="000000"/>
              </a:solidFill>
              <a:latin typeface="Calibri"/>
              <a:cs typeface="Calibri"/>
            </a:rPr>
            <a:pPr algn="l"/>
            <a:t>154</a:t>
          </a:fld>
          <a:endParaRPr lang="en-US" sz="1600" b="1" i="0" u="none" strike="noStrike">
            <a:solidFill>
              <a:sysClr val="windowText" lastClr="000000"/>
            </a:solidFill>
            <a:latin typeface="Calibri"/>
            <a:cs typeface="Calibri"/>
          </a:endParaRPr>
        </a:p>
        <a:p>
          <a:pPr algn="l"/>
          <a:r>
            <a:rPr lang="en-US" sz="800" b="0" i="0" u="none" strike="noStrike" baseline="0">
              <a:solidFill>
                <a:schemeClr val="accent1">
                  <a:lumMod val="75000"/>
                </a:schemeClr>
              </a:solidFill>
              <a:latin typeface="+mn-lt"/>
              <a:cs typeface="+mn-cs"/>
            </a:rPr>
            <a:t>       </a:t>
          </a:r>
          <a:r>
            <a:rPr lang="en-US" sz="1050" b="0" i="0" u="none" strike="noStrike" baseline="0">
              <a:solidFill>
                <a:sysClr val="windowText" lastClr="000000"/>
              </a:solidFill>
              <a:latin typeface="+mn-lt"/>
              <a:cs typeface="+mn-cs"/>
            </a:rPr>
            <a:t>No. of Patient</a:t>
          </a:r>
          <a:endParaRPr lang="en-US" sz="1600" b="0" i="0" u="none" strike="noStrike">
            <a:solidFill>
              <a:sysClr val="windowText" lastClr="000000"/>
            </a:solidFill>
            <a:latin typeface="Calibri"/>
            <a:cs typeface="Calibri"/>
          </a:endParaRPr>
        </a:p>
      </xdr:txBody>
    </xdr:sp>
    <xdr:clientData/>
  </xdr:twoCellAnchor>
  <xdr:twoCellAnchor>
    <xdr:from>
      <xdr:col>1</xdr:col>
      <xdr:colOff>600578</xdr:colOff>
      <xdr:row>12</xdr:row>
      <xdr:rowOff>1</xdr:rowOff>
    </xdr:from>
    <xdr:to>
      <xdr:col>9</xdr:col>
      <xdr:colOff>160649</xdr:colOff>
      <xdr:row>20</xdr:row>
      <xdr:rowOff>72189</xdr:rowOff>
    </xdr:to>
    <xdr:sp macro="" textlink="">
      <xdr:nvSpPr>
        <xdr:cNvPr id="12" name="Rectangle: Rounded Corners 11">
          <a:extLst>
            <a:ext uri="{FF2B5EF4-FFF2-40B4-BE49-F238E27FC236}">
              <a16:creationId xmlns:a16="http://schemas.microsoft.com/office/drawing/2014/main" id="{B31617D2-595C-3E73-BB39-B44ADAAFF01D}"/>
            </a:ext>
          </a:extLst>
        </xdr:cNvPr>
        <xdr:cNvSpPr/>
      </xdr:nvSpPr>
      <xdr:spPr>
        <a:xfrm>
          <a:off x="1213491" y="2286001"/>
          <a:ext cx="4463375" cy="1596188"/>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800">
            <a:solidFill>
              <a:schemeClr val="accent1">
                <a:lumMod val="75000"/>
              </a:schemeClr>
            </a:solidFill>
          </a:endParaRPr>
        </a:p>
        <a:p>
          <a:pPr algn="l"/>
          <a:endParaRPr lang="en-US" sz="800">
            <a:solidFill>
              <a:schemeClr val="accent1">
                <a:lumMod val="75000"/>
              </a:schemeClr>
            </a:solidFill>
          </a:endParaRPr>
        </a:p>
      </xdr:txBody>
    </xdr:sp>
    <xdr:clientData/>
  </xdr:twoCellAnchor>
  <xdr:twoCellAnchor>
    <xdr:from>
      <xdr:col>9</xdr:col>
      <xdr:colOff>216291</xdr:colOff>
      <xdr:row>9</xdr:row>
      <xdr:rowOff>105103</xdr:rowOff>
    </xdr:from>
    <xdr:to>
      <xdr:col>15</xdr:col>
      <xdr:colOff>453018</xdr:colOff>
      <xdr:row>20</xdr:row>
      <xdr:rowOff>56316</xdr:rowOff>
    </xdr:to>
    <xdr:sp macro="" textlink="">
      <xdr:nvSpPr>
        <xdr:cNvPr id="14" name="Rectangle: Rounded Corners 13">
          <a:extLst>
            <a:ext uri="{FF2B5EF4-FFF2-40B4-BE49-F238E27FC236}">
              <a16:creationId xmlns:a16="http://schemas.microsoft.com/office/drawing/2014/main" id="{36BFEF7E-B37D-0508-572B-34FC653C2D9F}"/>
            </a:ext>
          </a:extLst>
        </xdr:cNvPr>
        <xdr:cNvSpPr/>
      </xdr:nvSpPr>
      <xdr:spPr>
        <a:xfrm>
          <a:off x="5740791" y="1819603"/>
          <a:ext cx="3919727" cy="2046713"/>
        </a:xfrm>
        <a:prstGeom prst="roundRect">
          <a:avLst>
            <a:gd name="adj" fmla="val 5316"/>
          </a:avLst>
        </a:prstGeom>
        <a:solidFill>
          <a:schemeClr val="bg2"/>
        </a:solidFill>
      </xdr:spPr>
      <xdr:style>
        <a:lnRef idx="2">
          <a:schemeClr val="dk1"/>
        </a:lnRef>
        <a:fillRef idx="1">
          <a:schemeClr val="lt1"/>
        </a:fillRef>
        <a:effectRef idx="0">
          <a:schemeClr val="dk1"/>
        </a:effectRef>
        <a:fontRef idx="minor">
          <a:schemeClr val="dk1"/>
        </a:fontRef>
      </xdr:style>
      <xdr:txBody>
        <a:bodyPr vertOverflow="clip" horzOverflow="clip" lIns="0" tIns="0" rIns="0" bIns="0" rtlCol="0" anchor="t"/>
        <a:lstStyle/>
        <a:p>
          <a:pPr algn="l"/>
          <a:endParaRPr lang="en-US" sz="800">
            <a:solidFill>
              <a:schemeClr val="accent1">
                <a:lumMod val="75000"/>
              </a:schemeClr>
            </a:solidFill>
          </a:endParaRPr>
        </a:p>
        <a:p>
          <a:pPr algn="l"/>
          <a:endParaRPr lang="en-US" sz="800">
            <a:solidFill>
              <a:schemeClr val="accent1">
                <a:lumMod val="75000"/>
              </a:schemeClr>
            </a:solidFill>
          </a:endParaRPr>
        </a:p>
      </xdr:txBody>
    </xdr:sp>
    <xdr:clientData/>
  </xdr:twoCellAnchor>
  <xdr:twoCellAnchor>
    <xdr:from>
      <xdr:col>8</xdr:col>
      <xdr:colOff>495707</xdr:colOff>
      <xdr:row>4</xdr:row>
      <xdr:rowOff>59688</xdr:rowOff>
    </xdr:from>
    <xdr:to>
      <xdr:col>9</xdr:col>
      <xdr:colOff>166518</xdr:colOff>
      <xdr:row>5</xdr:row>
      <xdr:rowOff>133350</xdr:rowOff>
    </xdr:to>
    <xdr:pic>
      <xdr:nvPicPr>
        <xdr:cNvPr id="18" name="Graphic 17" descr="User with solid fill">
          <a:extLst>
            <a:ext uri="{FF2B5EF4-FFF2-40B4-BE49-F238E27FC236}">
              <a16:creationId xmlns:a16="http://schemas.microsoft.com/office/drawing/2014/main" id="{C5189844-41E7-7DA6-B368-B7C8E7E139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372507" y="821688"/>
          <a:ext cx="280411" cy="264162"/>
        </a:xfrm>
        <a:prstGeom prst="rect">
          <a:avLst/>
        </a:prstGeom>
      </xdr:spPr>
    </xdr:pic>
    <xdr:clientData/>
  </xdr:twoCellAnchor>
  <xdr:twoCellAnchor>
    <xdr:from>
      <xdr:col>3</xdr:col>
      <xdr:colOff>556901</xdr:colOff>
      <xdr:row>4</xdr:row>
      <xdr:rowOff>72930</xdr:rowOff>
    </xdr:from>
    <xdr:to>
      <xdr:col>4</xdr:col>
      <xdr:colOff>198769</xdr:colOff>
      <xdr:row>5</xdr:row>
      <xdr:rowOff>114300</xdr:rowOff>
    </xdr:to>
    <xdr:pic>
      <xdr:nvPicPr>
        <xdr:cNvPr id="22" name="Graphic 21" descr="Checklist with solid fill">
          <a:extLst>
            <a:ext uri="{FF2B5EF4-FFF2-40B4-BE49-F238E27FC236}">
              <a16:creationId xmlns:a16="http://schemas.microsoft.com/office/drawing/2014/main" id="{1892A10C-D028-3D88-5D33-CEED888C66B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385701" y="834930"/>
          <a:ext cx="251468" cy="231870"/>
        </a:xfrm>
        <a:prstGeom prst="rect">
          <a:avLst/>
        </a:prstGeom>
      </xdr:spPr>
    </xdr:pic>
    <xdr:clientData/>
  </xdr:twoCellAnchor>
  <xdr:twoCellAnchor>
    <xdr:from>
      <xdr:col>0</xdr:col>
      <xdr:colOff>207541</xdr:colOff>
      <xdr:row>4</xdr:row>
      <xdr:rowOff>109432</xdr:rowOff>
    </xdr:from>
    <xdr:to>
      <xdr:col>1</xdr:col>
      <xdr:colOff>501752</xdr:colOff>
      <xdr:row>20</xdr:row>
      <xdr:rowOff>49805</xdr:rowOff>
    </xdr:to>
    <mc:AlternateContent xmlns:mc="http://schemas.openxmlformats.org/markup-compatibility/2006" xmlns:a14="http://schemas.microsoft.com/office/drawing/2010/main">
      <mc:Choice Requires="a14">
        <xdr:graphicFrame macro="">
          <xdr:nvGraphicFramePr>
            <xdr:cNvPr id="23" name="date (Month)">
              <a:extLst>
                <a:ext uri="{FF2B5EF4-FFF2-40B4-BE49-F238E27FC236}">
                  <a16:creationId xmlns:a16="http://schemas.microsoft.com/office/drawing/2014/main" id="{BD4DDF19-C299-4444-8312-19F61E8BDEE1}"/>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207541" y="871432"/>
              <a:ext cx="907124" cy="2988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124239</xdr:colOff>
      <xdr:row>6</xdr:row>
      <xdr:rowOff>95249</xdr:rowOff>
    </xdr:from>
    <xdr:to>
      <xdr:col>7</xdr:col>
      <xdr:colOff>8283</xdr:colOff>
      <xdr:row>9</xdr:row>
      <xdr:rowOff>129646</xdr:rowOff>
    </xdr:to>
    <xdr:graphicFrame macro="">
      <xdr:nvGraphicFramePr>
        <xdr:cNvPr id="33" name="Chart 32">
          <a:extLst>
            <a:ext uri="{FF2B5EF4-FFF2-40B4-BE49-F238E27FC236}">
              <a16:creationId xmlns:a16="http://schemas.microsoft.com/office/drawing/2014/main" id="{D3C15B1D-4B9D-4F83-B3C6-166AC7D98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182561</xdr:colOff>
      <xdr:row>0</xdr:row>
      <xdr:rowOff>114301</xdr:rowOff>
    </xdr:from>
    <xdr:to>
      <xdr:col>9</xdr:col>
      <xdr:colOff>200023</xdr:colOff>
      <xdr:row>4</xdr:row>
      <xdr:rowOff>9525</xdr:rowOff>
    </xdr:to>
    <mc:AlternateContent xmlns:mc="http://schemas.openxmlformats.org/markup-compatibility/2006" xmlns:a14="http://schemas.microsoft.com/office/drawing/2010/main">
      <mc:Choice Requires="a14">
        <xdr:graphicFrame macro="">
          <xdr:nvGraphicFramePr>
            <xdr:cNvPr id="38" name="date (Year)">
              <a:extLst>
                <a:ext uri="{FF2B5EF4-FFF2-40B4-BE49-F238E27FC236}">
                  <a16:creationId xmlns:a16="http://schemas.microsoft.com/office/drawing/2014/main" id="{3F4EED8E-6CD1-4A60-A482-801D089B7EDE}"/>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4472952" y="114301"/>
              <a:ext cx="1243288" cy="6572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219411</xdr:colOff>
      <xdr:row>4</xdr:row>
      <xdr:rowOff>71999</xdr:rowOff>
    </xdr:from>
    <xdr:to>
      <xdr:col>6</xdr:col>
      <xdr:colOff>441831</xdr:colOff>
      <xdr:row>5</xdr:row>
      <xdr:rowOff>104775</xdr:rowOff>
    </xdr:to>
    <xdr:pic>
      <xdr:nvPicPr>
        <xdr:cNvPr id="16" name="Graphic 15" descr="Hourglass Finished with solid fill">
          <a:extLst>
            <a:ext uri="{FF2B5EF4-FFF2-40B4-BE49-F238E27FC236}">
              <a16:creationId xmlns:a16="http://schemas.microsoft.com/office/drawing/2014/main" id="{E1B3FC51-CA29-A0FC-E343-B1F9F9E0847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77011" y="833999"/>
          <a:ext cx="222420" cy="223276"/>
        </a:xfrm>
        <a:prstGeom prst="rect">
          <a:avLst/>
        </a:prstGeom>
      </xdr:spPr>
    </xdr:pic>
    <xdr:clientData/>
  </xdr:twoCellAnchor>
  <xdr:twoCellAnchor editAs="oneCell">
    <xdr:from>
      <xdr:col>0</xdr:col>
      <xdr:colOff>298600</xdr:colOff>
      <xdr:row>0</xdr:row>
      <xdr:rowOff>181496</xdr:rowOff>
    </xdr:from>
    <xdr:to>
      <xdr:col>1</xdr:col>
      <xdr:colOff>208963</xdr:colOff>
      <xdr:row>3</xdr:row>
      <xdr:rowOff>133349</xdr:rowOff>
    </xdr:to>
    <xdr:pic>
      <xdr:nvPicPr>
        <xdr:cNvPr id="20" name="Graphic 19" descr="Stethoscope with solid fill">
          <a:extLst>
            <a:ext uri="{FF2B5EF4-FFF2-40B4-BE49-F238E27FC236}">
              <a16:creationId xmlns:a16="http://schemas.microsoft.com/office/drawing/2014/main" id="{A726774A-F861-F216-227C-EA73A390BD4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98600" y="181496"/>
          <a:ext cx="519963" cy="523353"/>
        </a:xfrm>
        <a:prstGeom prst="rect">
          <a:avLst/>
        </a:prstGeom>
      </xdr:spPr>
    </xdr:pic>
    <xdr:clientData/>
  </xdr:twoCellAnchor>
  <xdr:twoCellAnchor>
    <xdr:from>
      <xdr:col>9</xdr:col>
      <xdr:colOff>243417</xdr:colOff>
      <xdr:row>9</xdr:row>
      <xdr:rowOff>148167</xdr:rowOff>
    </xdr:from>
    <xdr:to>
      <xdr:col>15</xdr:col>
      <xdr:colOff>412750</xdr:colOff>
      <xdr:row>20</xdr:row>
      <xdr:rowOff>21166</xdr:rowOff>
    </xdr:to>
    <xdr:graphicFrame macro="">
      <xdr:nvGraphicFramePr>
        <xdr:cNvPr id="42" name="Chart 41">
          <a:extLst>
            <a:ext uri="{FF2B5EF4-FFF2-40B4-BE49-F238E27FC236}">
              <a16:creationId xmlns:a16="http://schemas.microsoft.com/office/drawing/2014/main" id="{1ABF3A97-A4BA-4126-8C06-2936DB1890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501316</xdr:colOff>
      <xdr:row>0</xdr:row>
      <xdr:rowOff>114181</xdr:rowOff>
    </xdr:from>
    <xdr:to>
      <xdr:col>15</xdr:col>
      <xdr:colOff>423333</xdr:colOff>
      <xdr:row>9</xdr:row>
      <xdr:rowOff>31750</xdr:rowOff>
    </xdr:to>
    <xdr:graphicFrame macro="">
      <xdr:nvGraphicFramePr>
        <xdr:cNvPr id="43" name="Chart 42">
          <a:extLst>
            <a:ext uri="{FF2B5EF4-FFF2-40B4-BE49-F238E27FC236}">
              <a16:creationId xmlns:a16="http://schemas.microsoft.com/office/drawing/2014/main" id="{DCA6F193-59DA-4AAC-BC5E-D5EBDAB0AA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10583</xdr:colOff>
      <xdr:row>13</xdr:row>
      <xdr:rowOff>21167</xdr:rowOff>
    </xdr:from>
    <xdr:to>
      <xdr:col>9</xdr:col>
      <xdr:colOff>126999</xdr:colOff>
      <xdr:row>20</xdr:row>
      <xdr:rowOff>52917</xdr:rowOff>
    </xdr:to>
    <xdr:graphicFrame macro="">
      <xdr:nvGraphicFramePr>
        <xdr:cNvPr id="44" name="Chart 43">
          <a:extLst>
            <a:ext uri="{FF2B5EF4-FFF2-40B4-BE49-F238E27FC236}">
              <a16:creationId xmlns:a16="http://schemas.microsoft.com/office/drawing/2014/main" id="{7BA861D5-C8ED-4E00-B7B0-950ADCF053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529661</xdr:colOff>
      <xdr:row>5</xdr:row>
      <xdr:rowOff>146881</xdr:rowOff>
    </xdr:from>
    <xdr:to>
      <xdr:col>9</xdr:col>
      <xdr:colOff>204743</xdr:colOff>
      <xdr:row>9</xdr:row>
      <xdr:rowOff>8902</xdr:rowOff>
    </xdr:to>
    <xdr:graphicFrame macro="">
      <xdr:nvGraphicFramePr>
        <xdr:cNvPr id="45" name="Chart 44">
          <a:extLst>
            <a:ext uri="{FF2B5EF4-FFF2-40B4-BE49-F238E27FC236}">
              <a16:creationId xmlns:a16="http://schemas.microsoft.com/office/drawing/2014/main" id="{73B01207-3ECD-42D7-A25A-BB6D95596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591553</xdr:colOff>
          <xdr:row>9</xdr:row>
          <xdr:rowOff>41412</xdr:rowOff>
        </xdr:from>
        <xdr:to>
          <xdr:col>9</xdr:col>
          <xdr:colOff>170448</xdr:colOff>
          <xdr:row>11</xdr:row>
          <xdr:rowOff>157369</xdr:rowOff>
        </xdr:to>
        <xdr:pic>
          <xdr:nvPicPr>
            <xdr:cNvPr id="52" name="Picture 51">
              <a:extLst>
                <a:ext uri="{FF2B5EF4-FFF2-40B4-BE49-F238E27FC236}">
                  <a16:creationId xmlns:a16="http://schemas.microsoft.com/office/drawing/2014/main" id="{1931158C-B130-3E21-85DC-D2B5CF8D654B}"/>
                </a:ext>
              </a:extLst>
            </xdr:cNvPr>
            <xdr:cNvPicPr>
              <a:picLocks noChangeAspect="1" noChangeArrowheads="1"/>
              <a:extLst>
                <a:ext uri="{84589F7E-364E-4C9E-8A38-B11213B215E9}">
                  <a14:cameraTool cellRange="Sheet1!$C$2:$F$4" spid="_x0000_s2071"/>
                </a:ext>
              </a:extLst>
            </xdr:cNvPicPr>
          </xdr:nvPicPr>
          <xdr:blipFill>
            <a:blip xmlns:r="http://schemas.openxmlformats.org/officeDocument/2006/relationships" r:embed="rId14"/>
            <a:srcRect/>
            <a:stretch>
              <a:fillRect/>
            </a:stretch>
          </xdr:blipFill>
          <xdr:spPr bwMode="auto">
            <a:xfrm>
              <a:off x="1204466" y="1755912"/>
              <a:ext cx="4482199" cy="49695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9</xdr:col>
      <xdr:colOff>170448</xdr:colOff>
      <xdr:row>0</xdr:row>
      <xdr:rowOff>140369</xdr:rowOff>
    </xdr:from>
    <xdr:to>
      <xdr:col>12</xdr:col>
      <xdr:colOff>340894</xdr:colOff>
      <xdr:row>9</xdr:row>
      <xdr:rowOff>80211</xdr:rowOff>
    </xdr:to>
    <xdr:graphicFrame macro="">
      <xdr:nvGraphicFramePr>
        <xdr:cNvPr id="54" name="Chart 53">
          <a:extLst>
            <a:ext uri="{FF2B5EF4-FFF2-40B4-BE49-F238E27FC236}">
              <a16:creationId xmlns:a16="http://schemas.microsoft.com/office/drawing/2014/main" id="{705608B0-8041-484D-8EE9-455CADF76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455657</xdr:colOff>
      <xdr:row>6</xdr:row>
      <xdr:rowOff>95249</xdr:rowOff>
    </xdr:from>
    <xdr:to>
      <xdr:col>4</xdr:col>
      <xdr:colOff>341311</xdr:colOff>
      <xdr:row>9</xdr:row>
      <xdr:rowOff>129646</xdr:rowOff>
    </xdr:to>
    <xdr:graphicFrame macro="">
      <xdr:nvGraphicFramePr>
        <xdr:cNvPr id="10" name="Chart 9">
          <a:extLst>
            <a:ext uri="{FF2B5EF4-FFF2-40B4-BE49-F238E27FC236}">
              <a16:creationId xmlns:a16="http://schemas.microsoft.com/office/drawing/2014/main" id="{CEC01B07-2C5B-4164-8050-8ABC726CC2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0.09909</cdr:x>
      <cdr:y>0.83788</cdr:y>
    </cdr:from>
    <cdr:to>
      <cdr:x>0.90798</cdr:x>
      <cdr:y>0.99085</cdr:y>
    </cdr:to>
    <cdr:sp macro="" textlink="">
      <cdr:nvSpPr>
        <cdr:cNvPr id="2" name="TextBox 1">
          <a:extLst xmlns:a="http://schemas.openxmlformats.org/drawingml/2006/main">
            <a:ext uri="{FF2B5EF4-FFF2-40B4-BE49-F238E27FC236}">
              <a16:creationId xmlns:a16="http://schemas.microsoft.com/office/drawing/2014/main" id="{04FE2DF2-B578-3FF8-64A2-7F381F5082BE}"/>
            </a:ext>
          </a:extLst>
        </cdr:cNvPr>
        <cdr:cNvSpPr txBox="1"/>
      </cdr:nvSpPr>
      <cdr:spPr>
        <a:xfrm xmlns:a="http://schemas.openxmlformats.org/drawingml/2006/main">
          <a:off x="178099" y="1367486"/>
          <a:ext cx="1453850" cy="249647"/>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solidFill>
                <a:sysClr val="windowText" lastClr="000000"/>
              </a:solidFill>
            </a:rPr>
            <a:t>Patient attend ration</a:t>
          </a:r>
        </a:p>
        <a:p xmlns:a="http://schemas.openxmlformats.org/drawingml/2006/main">
          <a:r>
            <a:rPr lang="en-US" sz="1100" b="1" kern="1200">
              <a:solidFill>
                <a:sysClr val="windowText" lastClr="000000"/>
              </a:solidFill>
            </a:rPr>
            <a:t> </a:t>
          </a:r>
        </a:p>
      </cdr:txBody>
    </cdr:sp>
  </cdr:relSizeAnchor>
</c:userShapes>
</file>

<file path=xl/drawings/drawing4.xml><?xml version="1.0" encoding="utf-8"?>
<c:userShapes xmlns:c="http://schemas.openxmlformats.org/drawingml/2006/chart">
  <cdr:relSizeAnchor xmlns:cdr="http://schemas.openxmlformats.org/drawingml/2006/chartDrawing">
    <cdr:from>
      <cdr:x>0.26434</cdr:x>
      <cdr:y>0.83188</cdr:y>
    </cdr:from>
    <cdr:to>
      <cdr:x>0.62294</cdr:x>
      <cdr:y>0.92242</cdr:y>
    </cdr:to>
    <cdr:sp macro="" textlink="">
      <cdr:nvSpPr>
        <cdr:cNvPr id="2" name="TextBox 1">
          <a:extLst xmlns:a="http://schemas.openxmlformats.org/drawingml/2006/main">
            <a:ext uri="{FF2B5EF4-FFF2-40B4-BE49-F238E27FC236}">
              <a16:creationId xmlns:a16="http://schemas.microsoft.com/office/drawing/2014/main" id="{54F5970C-D7F3-5532-C021-D3D7C6FCDACE}"/>
            </a:ext>
          </a:extLst>
        </cdr:cNvPr>
        <cdr:cNvSpPr txBox="1"/>
      </cdr:nvSpPr>
      <cdr:spPr>
        <a:xfrm xmlns:a="http://schemas.openxmlformats.org/drawingml/2006/main">
          <a:off x="530079" y="1376207"/>
          <a:ext cx="719071" cy="149790"/>
        </a:xfrm>
        <a:prstGeom xmlns:a="http://schemas.openxmlformats.org/drawingml/2006/main" prst="rect">
          <a:avLst/>
        </a:prstGeom>
      </cdr:spPr>
      <cdr:txBody>
        <a:bodyPr xmlns:a="http://schemas.openxmlformats.org/drawingml/2006/main" wrap="non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b="1" kern="1200">
              <a:solidFill>
                <a:sysClr val="windowText" lastClr="000000"/>
              </a:solidFill>
            </a:rPr>
            <a:t>Gender Ratio</a:t>
          </a:r>
        </a:p>
        <a:p xmlns:a="http://schemas.openxmlformats.org/drawingml/2006/main">
          <a:r>
            <a:rPr lang="en-US" sz="1100" b="1" kern="1200">
              <a:solidFill>
                <a:sysClr val="windowText" lastClr="000000"/>
              </a:solidFill>
            </a:rPr>
            <a:t> </a:t>
          </a: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451389" backgroundQuery="1" createdVersion="8" refreshedVersion="8" minRefreshableVersion="3" recordCount="0" supportSubquery="1" supportAdvancedDrill="1" xr:uid="{EEEA5650-4C59-47ED-ACE8-0D773A9870FE}">
  <cacheSource type="external" connectionId="3"/>
  <cacheFields count="3">
    <cacheField name="[Measures].[Distinct Count of Patient Id]" caption="Distinct Count of Patient Id" numFmtId="0" hierarchy="20"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unt="1">
        <s v="2023"/>
      </sharedItems>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4861114" backgroundQuery="1" createdVersion="8" refreshedVersion="8" minRefreshableVersion="3" recordCount="0" supportSubquery="1" supportAdvancedDrill="1" xr:uid="{82B380B9-7A46-4D98-952C-888FF4344335}">
  <cacheSource type="external" connectionId="3"/>
  <cacheFields count="3">
    <cacheField name="[Measures].[Distinct Count of Patient Id]" caption="Distinct Count of Patient Id" numFmtId="0" hierarchy="20"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5092591" backgroundQuery="1" createdVersion="8" refreshedVersion="8" minRefreshableVersion="3" recordCount="0" supportSubquery="1" supportAdvancedDrill="1" xr:uid="{631D5573-3C45-4D06-97D5-C806FFC64D2E}">
  <cacheSource type="external" connectionId="3"/>
  <cacheFields count="3">
    <cacheField name="[Measures].[Average of Patient Waittime]" caption="Average of Patient Waittime" numFmtId="0" hierarchy="22"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5324076" backgroundQuery="1" createdVersion="8" refreshedVersion="8" minRefreshableVersion="3" recordCount="0" supportSubquery="1" supportAdvancedDrill="1" xr:uid="{2D44753B-F19D-4B8E-BE18-70C6F55FAABD}">
  <cacheSource type="external" connectionId="3"/>
  <cacheFields count="3">
    <cacheField name="[Measures].[Average of Patient Satisfaction Score]" caption="Average of Patient Satisfaction Score" numFmtId="0" hierarchy="24" level="32767"/>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fieldsUsage count="1">
        <fieldUsage x="0"/>
      </fieldsUsage>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5902776" backgroundQuery="1" createdVersion="8" refreshedVersion="8" minRefreshableVersion="3" recordCount="0" supportSubquery="1" supportAdvancedDrill="1" xr:uid="{FC539378-346E-427E-8FF2-44DCE5B77A6F}">
  <cacheSource type="external" connectionId="3"/>
  <cacheFields count="4">
    <cacheField name="[Calander_Table].[date (Day)].[date (Day)]" caption="date (Day)" numFmtId="0" hierarchy="2" level="1">
      <sharedItems count="28">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ander_Table].[date (Month)].[date (Month)]" caption="date (Month)" numFmtId="0" hierarchy="1" level="1">
      <sharedItems containsSemiMixedTypes="0" containsNonDate="0" containsString="0"/>
    </cacheField>
    <cacheField name="[Measures].[Average of Patient Waittime]" caption="Average of Patient Waittime" numFmtId="0" hierarchy="22" level="32767"/>
    <cacheField name="[Calander_Table].[date (Year)].[date (Year)]" caption="date (Year)" numFmtId="0" hierarchy="3" level="1">
      <sharedItems containsSemiMixedTypes="0" containsNonDate="0" containsString="0"/>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6481484" backgroundQuery="1" createdVersion="8" refreshedVersion="8" minRefreshableVersion="3" recordCount="0" supportSubquery="1" supportAdvancedDrill="1" xr:uid="{ECFB910A-2DE0-4096-9D96-B2357493FFBB}">
  <cacheSource type="external" connectionId="3"/>
  <cacheFields count="5">
    <cacheField name="[Calander_Table].[date (Month)].[date (Month)]" caption="date (Month)" numFmtId="0" hierarchy="1" level="1">
      <sharedItems containsSemiMixedTypes="0" containsNonDate="0" containsString="0"/>
    </cacheField>
    <cacheField name="[Measures].[Count of Patient Admission Flag]" caption="Count of Patient Admission Flag" numFmtId="0" hierarchy="25" level="32767"/>
    <cacheField name="[Hospital Emergency Room Data].[Patient Admission Flag].[Patient Admission Flag]" caption="Patient Admission Flag" numFmtId="0" hierarchy="12" level="1">
      <sharedItems count="2">
        <s v="Admitted"/>
        <s v="Not Admitted"/>
      </sharedItems>
    </cacheField>
    <cacheField name="[Calander_Table].[date (Year)].[date (Year)]" caption="date (Year)" numFmtId="0" hierarchy="3" level="1">
      <sharedItems containsSemiMixedTypes="0" containsNonDate="0" containsString="0"/>
    </cacheField>
    <cacheField name="Unsupported0" numFmtId="0" hierarchy="35" level="32767">
      <extLst>
        <ext xmlns:x14="http://schemas.microsoft.com/office/spreadsheetml/2009/9/main" uri="{63CAB8AC-B538-458d-9737-405883B0398D}">
          <x14:cacheField ignore="1"/>
        </ext>
      </extLst>
    </cacheField>
  </cacheFields>
  <cacheHierarchies count="36">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3"/>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oneField="1">
      <fieldsUsage count="1">
        <fieldUsage x="1"/>
      </fieldsUsage>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7060185" backgroundQuery="1" createdVersion="8" refreshedVersion="8" minRefreshableVersion="3" recordCount="0" supportSubquery="1" supportAdvancedDrill="1" xr:uid="{D235B067-F7CC-4CFF-80F2-C9FDB99CBCCE}">
  <cacheSource type="external" connectionId="3"/>
  <cacheFields count="4">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 name="[Measures].[Count of wait_time_status]" caption="Count of wait_time_status" numFmtId="0" hierarchy="28" level="32767"/>
    <cacheField name="[Hospital Emergency Room Data].[wait_time_status].[wait_time_status]" caption="wait_time_status" numFmtId="0" hierarchy="16" level="1">
      <sharedItems count="2">
        <s v="Delay"/>
        <s v="OnTime"/>
      </sharedItems>
    </cacheField>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2" memberValueDatatype="130" unbalanced="0">
      <fieldsUsage count="2">
        <fieldUsage x="-1"/>
        <fieldUsage x="3"/>
      </fieldsUsage>
    </cacheHierarchy>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oneField="1">
      <fieldsUsage count="1">
        <fieldUsage x="2"/>
      </fieldsUsage>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7407408" backgroundQuery="1" createdVersion="8" refreshedVersion="8" minRefreshableVersion="3" recordCount="0" supportSubquery="1" supportAdvancedDrill="1" xr:uid="{1A21D361-E69E-4F4E-B686-EF254D3C553F}">
  <cacheSource type="external" connectionId="3"/>
  <cacheFields count="4">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27" level="32767"/>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fieldsUsage count="1">
        <fieldUsage x="3"/>
      </fieldsUsage>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7986108" backgroundQuery="1" createdVersion="8" refreshedVersion="8" minRefreshableVersion="3" recordCount="0" supportSubquery="1" supportAdvancedDrill="1" xr:uid="{4D644ADD-3810-4288-B02F-80CA3517646F}">
  <cacheSource type="external" connectionId="3"/>
  <cacheFields count="4">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 name="[Hospital Emergency Room Data].[Age_group].[Age_group]" caption="Age_group" numFmtId="0" hierarchy="15" level="1">
      <sharedItems count="8">
        <s v="0-09"/>
        <s v="10-19"/>
        <s v="20-29"/>
        <s v="30-39"/>
        <s v="40-49"/>
        <s v="50-59"/>
        <s v="60-69"/>
        <s v="70-79"/>
      </sharedItems>
    </cacheField>
    <cacheField name="[Measures].[Count of Age_group]" caption="Count of Age_group" numFmtId="0" hierarchy="30" level="32767"/>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2" memberValueDatatype="130" unbalanced="0">
      <fieldsUsage count="2">
        <fieldUsage x="-1"/>
        <fieldUsage x="2"/>
      </fieldsUsage>
    </cacheHierarchy>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oneField="1">
      <fieldsUsage count="1">
        <fieldUsage x="3"/>
      </fieldsUsage>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8564816" backgroundQuery="1" createdVersion="8" refreshedVersion="8" minRefreshableVersion="3" recordCount="0" supportSubquery="1" supportAdvancedDrill="1" xr:uid="{90B54065-1939-4C8C-86A3-711077766F5D}">
  <cacheSource type="external" connectionId="3"/>
  <cacheFields count="4">
    <cacheField name="[Calander_Table].[date (Day)].[date (Day)]" caption="date (Day)" numFmtId="0" hierarchy="2" level="1">
      <sharedItems count="28">
        <s v="4-Jul"/>
        <s v="5-Jul"/>
        <s v="6-Jul"/>
        <s v="7-Jul"/>
        <s v="8-Jul"/>
        <s v="9-Jul"/>
        <s v="10-Jul"/>
        <s v="11-Jul"/>
        <s v="12-Jul"/>
        <s v="13-Jul"/>
        <s v="14-Jul"/>
        <s v="15-Jul"/>
        <s v="16-Jul"/>
        <s v="17-Jul"/>
        <s v="18-Jul"/>
        <s v="19-Jul"/>
        <s v="20-Jul"/>
        <s v="21-Jul"/>
        <s v="22-Jul"/>
        <s v="23-Jul"/>
        <s v="24-Jul"/>
        <s v="25-Jul"/>
        <s v="26-Jul"/>
        <s v="27-Jul"/>
        <s v="28-Jul"/>
        <s v="29-Jul"/>
        <s v="30-Jul"/>
        <s v="31-Jul"/>
      </sharedItems>
    </cacheField>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 name="[Measures].[Distinct Count of Patient Id]" caption="Distinct Count of Patient Id" numFmtId="0" hierarchy="20" level="32767"/>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1"/>
      </fieldsUsage>
    </cacheHierarchy>
    <cacheHierarchy uniqueName="[Calander_Table].[date (Day)]" caption="date (Day)" attribute="1" defaultMemberUniqueName="[Calander_Table].[date (Day)].[All]" allUniqueName="[Calander_Table].[date (Day)].[All]" dimensionUniqueName="[Calander_Table]" displayFolder="" count="2" memberValueDatatype="130" unbalanced="0">
      <fieldsUsage count="2">
        <fieldUsage x="-1"/>
        <fieldUsage x="0"/>
      </fieldsUsage>
    </cacheHierarchy>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2"/>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9.393909143517" backgroundQuery="1" createdVersion="8" refreshedVersion="8" minRefreshableVersion="3" recordCount="0" supportSubquery="1" supportAdvancedDrill="1" xr:uid="{BB3A4A7E-55F5-4A2B-940A-D45B10148526}">
  <cacheSource type="external" connectionId="3"/>
  <cacheFields count="4">
    <cacheField name="[Calander_Table].[date (Month)].[date (Month)]" caption="date (Month)" numFmtId="0" hierarchy="1" level="1">
      <sharedItems containsSemiMixedTypes="0" containsNonDate="0" containsString="0"/>
    </cacheField>
    <cacheField name="[Calander_Table].[date (Year)].[date (Year)]" caption="date (Year)" numFmtId="0" hierarchy="3"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26" level="32767"/>
  </cacheFields>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fieldsUsage count="2">
        <fieldUsage x="-1"/>
        <fieldUsage x="0"/>
      </fieldsUsage>
    </cacheHierarchy>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fieldsUsage count="2">
        <fieldUsage x="-1"/>
        <fieldUsage x="1"/>
      </fieldsUsage>
    </cacheHierarchy>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2"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fieldsUsage count="1">
        <fieldUsage x="3"/>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dimensions count="3">
    <dimension name="Calander_Table" uniqueName="[Calander_Table]" caption="Calander_Table"/>
    <dimension name="Hospital Emergency Room Data" uniqueName="[Hospital Emergency Room Data]" caption="Hospital Emergency Room Data"/>
    <dimension measure="1" name="Measures" uniqueName="[Measures]" caption="Measures"/>
  </dimensions>
  <measureGroups count="2">
    <measureGroup name="Calander_Table" caption="Cala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hish" refreshedDate="46198.995712615739" backgroundQuery="1" createdVersion="3" refreshedVersion="8" minRefreshableVersion="3" recordCount="0" supportSubquery="1" supportAdvancedDrill="1" xr:uid="{4D7D0811-6089-415C-B19A-9A1E2CD81941}">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ander_Table].[date]" caption="date" attribute="1" time="1" defaultMemberUniqueName="[Calander_Table].[date].[All]" allUniqueName="[Calander_Table].[date].[All]" dimensionUniqueName="[Calander_Table]" displayFolder="" count="0" memberValueDatatype="7" unbalanced="0"/>
    <cacheHierarchy uniqueName="[Calander_Table].[date (Month)]" caption="date (Month)" attribute="1" defaultMemberUniqueName="[Calander_Table].[date (Month)].[All]" allUniqueName="[Calander_Table].[date (Month)].[All]" dimensionUniqueName="[Calander_Table]" displayFolder="" count="2" memberValueDatatype="130" unbalanced="0"/>
    <cacheHierarchy uniqueName="[Calander_Table].[date (Day)]" caption="date (Day)" attribute="1" defaultMemberUniqueName="[Calander_Table].[date (Day)].[All]" allUniqueName="[Calander_Table].[date (Day)].[All]" dimensionUniqueName="[Calander_Table]" displayFolder="" count="0" memberValueDatatype="130" unbalanced="0"/>
    <cacheHierarchy uniqueName="[Calander_Table].[date (Year)]" caption="date (Year)" attribute="1" defaultMemberUniqueName="[Calander_Table].[date (Year)].[All]" allUniqueName="[Calander_Table].[date (Year)].[All]" dimensionUniqueName="[Calander_Table]" displayFolder="" count="2" memberValueDatatype="130" unbalanced="0"/>
    <cacheHierarchy uniqueName="[Calander_Table].[date (Quarter)]" caption="date (Quarter)" attribute="1" defaultMemberUniqueName="[Calander_Table].[date (Quarter)].[All]" allUniqueName="[Calander_Table].[date (Quarter)].[All]" dimensionUniqueName="[Cala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_Admission_date]" caption="Patient_Admission_date" attribute="1" time="1" defaultMemberUniqueName="[Hospital Emergency Room Data].[Patient_Admission_date].[All]" allUniqueName="[Hospital Emergency Room Data].[Patient_Admission_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_group]" caption="Age_group" attribute="1" defaultMemberUniqueName="[Hospital Emergency Room Data].[Age_group].[All]" allUniqueName="[Hospital Emergency Room Data].[Age_group].[All]" dimensionUniqueName="[Hospital Emergency Room Data]" displayFolder="" count="0" memberValueDatatype="130" unbalanced="0"/>
    <cacheHierarchy uniqueName="[Hospital Emergency Room Data].[wait_time_status]" caption="wait_time_status" attribute="1" defaultMemberUniqueName="[Hospital Emergency Room Data].[wait_time_status].[All]" allUniqueName="[Hospital Emergency Room Data].[wait_time_status].[All]" dimensionUniqueName="[Hospital Emergency Room Data]" displayFolder="" count="0" memberValueDatatype="130" unbalanced="0"/>
    <cacheHierarchy uniqueName="[Calander_Table].[date (Day Index)]" caption="date (Day Index)" attribute="1" defaultMemberUniqueName="[Calander_Table].[date (Day Index)].[All]" allUniqueName="[Calander_Table].[date (Day Index)].[All]" dimensionUniqueName="[Calander_Table]" displayFolder="" count="0" memberValueDatatype="5" unbalanced="0" hidden="1"/>
    <cacheHierarchy uniqueName="[Calander_Table].[date (Month Index)]" caption="date (Month Index)" attribute="1" defaultMemberUniqueName="[Calander_Table].[date (Month Index)].[All]" allUniqueName="[Calander_Table].[date (Month Index)].[All]" dimensionUniqueName="[Calander_Table]" displayFolder="" count="0" memberValueDatatype="20" unbalanced="0" hidden="1"/>
    <cacheHierarchy uniqueName="[Measures].[Count of Patient Id]" caption="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extLst>
        <ext xmlns:x15="http://schemas.microsoft.com/office/spreadsheetml/2010/11/main" uri="{B97F6D7D-B522-45F9-BDA1-12C45D357490}">
          <x15:cacheHierarchy aggregatedColumn="13"/>
        </ext>
      </extLst>
    </cacheHierarchy>
    <cacheHierarchy uniqueName="[Measures].[Count of Patient Admission Flag]" caption="Count of Patient Admission Flag" measure="1" displayFolder="" measureGroup="Hospital Emergency Room Data" count="0">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extLst>
        <ext xmlns:x15="http://schemas.microsoft.com/office/spreadsheetml/2010/11/main" uri="{B97F6D7D-B522-45F9-BDA1-12C45D357490}">
          <x15:cacheHierarchy aggregatedColumn="11"/>
        </ext>
      </extLst>
    </cacheHierarchy>
    <cacheHierarchy uniqueName="[Measures].[Count of wait_time_status]" caption="Count of wait_time_status" measure="1" displayFolder="" measureGroup="Hospital Emergency Room Data" count="0">
      <extLst>
        <ext xmlns:x15="http://schemas.microsoft.com/office/spreadsheetml/2010/11/main" uri="{B97F6D7D-B522-45F9-BDA1-12C45D357490}">
          <x15:cacheHierarchy aggregatedColumn="16"/>
        </ext>
      </extLst>
    </cacheHierarchy>
    <cacheHierarchy uniqueName="[Measures].[Sum of Age_group]" caption="Sum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Count of Age_group]" caption="Count of Age_group" measure="1" displayFolder="" measureGroup="Hospital Emergency Room Data" count="0">
      <extLst>
        <ext xmlns:x15="http://schemas.microsoft.com/office/spreadsheetml/2010/11/main" uri="{B97F6D7D-B522-45F9-BDA1-12C45D357490}">
          <x15:cacheHierarchy aggregatedColumn="15"/>
        </ext>
      </extLst>
    </cacheHierarchy>
    <cacheHierarchy uniqueName="[Measures].[Sum of Patient Age]" caption="Sum of Patient Age" measure="1" displayFolder="" measureGroup="Hospital Emergency Room Data" count="0">
      <extLst>
        <ext xmlns:x15="http://schemas.microsoft.com/office/spreadsheetml/2010/11/main" uri="{B97F6D7D-B522-45F9-BDA1-12C45D357490}">
          <x15:cacheHierarchy aggregatedColumn="9"/>
        </ext>
      </extLst>
    </cacheHierarchy>
    <cacheHierarchy uniqueName="[Measures].[__XL_Count Hospital Emergency Room Data]" caption="__XL_Count Hospital Emergency Room Data" measure="1" displayFolder="" measureGroup="Hospital Emergency Room Data" count="0" hidden="1"/>
    <cacheHierarchy uniqueName="[Measures].[__XL_Count Calander_Table]" caption="__XL_Count Calander_Table" measure="1" displayFolder="" measureGroup="Calander_Tabl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412402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CDEF8B-21FD-4097-98EF-AC0AA5634098}" name="PivotTable11" cacheId="830" applyNumberFormats="0" applyBorderFormats="0" applyFontFormats="0" applyPatternFormats="0" applyAlignmentFormats="0" applyWidthHeightFormats="1" dataCaption="Values" tag="6c052c74-b438-4f80-a38b-5b662e9cd128" updatedVersion="8" minRefreshableVersion="3" subtotalHiddenItems="1" itemPrintTitles="1" createdVersion="8" indent="0" outline="1" outlineData="1" multipleFieldFilters="0" chartFormat="12">
  <location ref="A39:B48"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Age_group" fld="3" subtotal="count" baseField="0" baseItem="0"/>
  </dataFields>
  <formats count="2">
    <format dxfId="376">
      <pivotArea outline="0" collapsedLevelsAreSubtotals="1" fieldPosition="0"/>
    </format>
    <format dxfId="375">
      <pivotArea collapsedLevelsAreSubtotals="1" fieldPosition="0">
        <references count="1">
          <reference field="2" count="0"/>
        </references>
      </pivotArea>
    </format>
  </formats>
  <chartFormats count="1">
    <chartFormat chart="11"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EDF8642-43E7-4203-A21B-29A74F1162BF}" name="PivotTable6" cacheId="818" applyNumberFormats="0" applyBorderFormats="0" applyFontFormats="0" applyPatternFormats="0" applyAlignmentFormats="0" applyWidthHeightFormats="1" dataCaption="Values" tag="f816db55-6e73-4c10-b9c5-572d4109fca5" updatedVersion="8" minRefreshableVersion="3" subtotalHiddenItems="1" itemPrintTitles="1" createdVersion="8" indent="0" outline="1" outlineData="1" multipleFieldFilters="0" chartFormat="31">
  <location ref="H8:I37"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Average of Patient Waittime" fld="2" subtotal="average" baseField="0" baseItem="0"/>
  </dataFields>
  <formats count="1">
    <format dxfId="377">
      <pivotArea outline="0" collapsedLevelsAreSubtotals="1" fieldPosition="0"/>
    </format>
  </formats>
  <chartFormats count="3">
    <chartFormat chart="28" format="2" series="1">
      <pivotArea type="data" outline="0" fieldPosition="0">
        <references count="1">
          <reference field="4294967294" count="1" selected="0">
            <x v="0"/>
          </reference>
        </references>
      </pivotArea>
    </chartFormat>
    <chartFormat chart="29" format="3"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822853-407C-45D1-B54B-EF442166E448}" name="PivotTable3" cacheId="815" applyNumberFormats="0" applyBorderFormats="0" applyFontFormats="0" applyPatternFormats="0" applyAlignmentFormats="0" applyWidthHeightFormats="1" dataCaption="Values" tag="11820ba5-7ee5-4610-86a7-97954b6aa643" updatedVersion="8" minRefreshableVersion="3" subtotalHiddenItems="1" itemPrintTitles="1" createdVersion="8"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378">
      <pivotArea outline="0" collapsedLevelsAreSubtotals="1" fieldPosition="0"/>
    </format>
  </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F67E05F-3FA6-4599-8FC3-581E3015CC73}" name="PivotTable10" cacheId="827" applyNumberFormats="0" applyBorderFormats="0" applyFontFormats="0" applyPatternFormats="0" applyAlignmentFormats="0" applyWidthHeightFormats="1" dataCaption="Values" tag="decc7c4e-93f7-43ba-b1b4-d3c5333d0b26" updatedVersion="8" minRefreshableVersion="3" subtotalHiddenItems="1" itemPrintTitles="1" createdVersion="8" indent="0" outline="1" outlineData="1" multipleFieldFilters="0" chartFormat="11">
  <location ref="A21:B3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7"/>
    </i>
    <i>
      <x v="1"/>
    </i>
    <i>
      <x/>
    </i>
    <i>
      <x v="6"/>
    </i>
    <i>
      <x v="3"/>
    </i>
    <i>
      <x v="5"/>
    </i>
    <i>
      <x v="2"/>
    </i>
    <i>
      <x v="4"/>
    </i>
    <i t="grand">
      <x/>
    </i>
  </rowItems>
  <colItems count="1">
    <i/>
  </colItems>
  <dataFields count="1">
    <dataField name="Count of Department Referral" fld="3" subtotal="count" baseField="0" baseItem="0"/>
  </dataFields>
  <formats count="1">
    <format dxfId="379">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E45175-4280-4AD7-B161-EFC672A08058}" name="PivotTable2" cacheId="812" applyNumberFormats="0" applyBorderFormats="0" applyFontFormats="0" applyPatternFormats="0" applyAlignmentFormats="0" applyWidthHeightFormats="1" dataCaption="Values" tag="a3e28000-e062-482d-bc42-7cf9a2768d17" updatedVersion="8" minRefreshableVersion="3" subtotalHiddenItems="1" itemPrintTitles="1" createdVersion="8"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80">
      <pivotArea outline="0" collapsedLevelsAreSubtotals="1" fieldPosition="0"/>
    </format>
  </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F42B784-8CFD-46FB-B217-667D04A64CE0}" name="PivotTable9" cacheId="824" applyNumberFormats="0" applyBorderFormats="0" applyFontFormats="0" applyPatternFormats="0" applyAlignmentFormats="0" applyWidthHeightFormats="1" dataCaption="Values" tag="f64b6696-47e8-420c-a176-df01bc4da377" updatedVersion="8" minRefreshableVersion="3" subtotalHiddenItems="1" itemPrintTitles="1" createdVersion="8" indent="0" outline="1" outlineData="1" multipleFieldFilters="0" chartFormat="8">
  <location ref="A51:B54"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s>
  <rowFields count="1">
    <field x="3"/>
  </rowFields>
  <rowItems count="3">
    <i>
      <x/>
    </i>
    <i>
      <x v="1"/>
    </i>
    <i t="grand">
      <x/>
    </i>
  </rowItems>
  <colItems count="1">
    <i/>
  </colItems>
  <dataFields count="1">
    <dataField name="Count of wait_time_status" fld="2" subtotal="count" baseField="0" baseItem="0"/>
  </dataFields>
  <formats count="2">
    <format dxfId="382">
      <pivotArea outline="0" collapsedLevelsAreSubtotals="1" fieldPosition="0"/>
    </format>
    <format dxfId="381">
      <pivotArea collapsedLevelsAreSubtotals="1" fieldPosition="0">
        <references count="1">
          <reference field="3" count="0"/>
        </references>
      </pivotArea>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3" count="1" selected="0">
            <x v="0"/>
          </reference>
        </references>
      </pivotArea>
    </chartFormat>
    <chartFormat chart="7" format="6">
      <pivotArea type="data" outline="0" fieldPosition="0">
        <references count="2">
          <reference field="4294967294" count="1" selected="0">
            <x v="0"/>
          </reference>
          <reference field="3" count="1" selected="0">
            <x v="1"/>
          </reference>
        </references>
      </pivotArea>
    </chartFormat>
  </chart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DED13E-02CA-47D8-8284-85EBC0F99CA2}" name="PivotTable1" cacheId="809" applyNumberFormats="0" applyBorderFormats="0" applyFontFormats="0" applyPatternFormats="0" applyAlignmentFormats="0" applyWidthHeightFormats="1" dataCaption="Values" tag="2eb304b9-784c-431e-a94e-eb28bf73f938" updatedVersion="8" minRefreshableVersion="3" subtotalHiddenItems="1" itemPrintTitles="1" createdVersion="8" indent="0" outline="1" outlineData="1" multipleFieldFilters="0">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B42AAD9-E4C3-4056-BA63-BB881130A2BB}" name="PivotTable4" cacheId="806" applyNumberFormats="0" applyBorderFormats="0" applyFontFormats="0" applyPatternFormats="0" applyAlignmentFormats="0" applyWidthHeightFormats="1" dataCaption="Values" tag="39ee0e0e-8db1-444e-a474-ee2b9bda61e4" updatedVersion="8" minRefreshableVersion="3" subtotalHiddenItems="1" itemPrintTitles="1" createdVersion="8" indent="0" outline="1" outlineData="1" multipleFieldFilters="0" chartFormat="27">
  <location ref="A11:B13" firstHeaderRow="1" firstDataRow="1" firstDataCol="1"/>
  <pivotFields count="3">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2"/>
  </rowFields>
  <rowItems count="2">
    <i>
      <x/>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383">
      <pivotArea outline="0" collapsedLevelsAreSubtotals="1" fieldPosition="0"/>
    </format>
  </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640C08-5235-42B5-918F-5F963C88741B}" name="PivotTable13" cacheId="836" applyNumberFormats="0" applyBorderFormats="0" applyFontFormats="0" applyPatternFormats="0" applyAlignmentFormats="0" applyWidthHeightFormats="1" dataCaption="Values" tag="b02fe425-4a4c-4b0e-9d0f-0534e2ec220d" updatedVersion="8" minRefreshableVersion="3" subtotalHiddenItems="1" itemPrintTitles="1" createdVersion="8" indent="0" outline="1" outlineData="1" multipleFieldFilters="0" chartFormat="13">
  <location ref="A33:B36"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baseField="0" baseItem="0"/>
  </dataFields>
  <formats count="2">
    <format dxfId="385">
      <pivotArea outline="0" collapsedLevelsAreSubtotals="1" fieldPosition="0"/>
    </format>
    <format dxfId="384">
      <pivotArea collapsedLevelsAreSubtotals="1" fieldPosition="0">
        <references count="1">
          <reference field="2" count="0"/>
        </references>
      </pivotArea>
    </format>
  </formats>
  <chartFormats count="3">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1222685-6987-48D7-9632-3EEE2B76FEF5}" name="PivotTable12" cacheId="833" applyNumberFormats="0" applyBorderFormats="0" applyFontFormats="0" applyPatternFormats="0" applyAlignmentFormats="0" applyWidthHeightFormats="1" dataCaption="Values" tag="1875cdfc-8abc-4a1e-a99a-ff2d15e019fa" updatedVersion="8" minRefreshableVersion="3" subtotalHiddenItems="1" itemPrintTitles="1" createdVersion="8" indent="0" outline="1" outlineData="1" multipleFieldFilters="0" chartFormat="37">
  <location ref="E6:F35"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Distinct Count of Patient Id" fld="3" subtotal="count" baseField="0" baseItem="0">
      <extLst>
        <ext xmlns:x15="http://schemas.microsoft.com/office/spreadsheetml/2010/11/main" uri="{FABC7310-3BB5-11E1-824E-6D434824019B}">
          <x15:dataField isCountDistinct="1"/>
        </ext>
      </extLst>
    </dataField>
  </dataFields>
  <formats count="2">
    <format dxfId="387">
      <pivotArea outline="0" collapsedLevelsAreSubtotals="1" fieldPosition="0"/>
    </format>
    <format dxfId="386">
      <pivotArea collapsedLevelsAreSubtotals="1" fieldPosition="0">
        <references count="1">
          <reference field="0" count="0"/>
        </references>
      </pivotArea>
    </format>
  </formats>
  <chartFormats count="1">
    <chartFormat chart="3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616EFD-5D50-4A19-A34F-10E5514AEACD}" name="PivotTable8" cacheId="821" applyNumberFormats="0" applyBorderFormats="0" applyFontFormats="0" applyPatternFormats="0" applyAlignmentFormats="0" applyWidthHeightFormats="1" dataCaption="Values" tag="4c2c8a2e-d673-47f5-995b-26ee9f51776a" updatedVersion="8" minRefreshableVersion="3" subtotalHiddenItems="1" itemPrintTitles="1" createdVersion="8" indent="0" outline="1" outlineData="1" multipleFieldFilters="0" chartFormat="6">
  <location ref="A16:C1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showDataAs="percentOfTotal" baseField="0" baseItem="0" numFmtId="10"/>
    <dataField name="Count of Patient Admission Flag2" fld="4" subtotal="count" baseField="0" baseItem="0">
      <extLst>
        <ext xmlns:x14="http://schemas.microsoft.com/office/spreadsheetml/2009/9/main" uri="{E15A36E0-9728-4e99-A89B-3F7291B0FE68}">
          <x14:dataField sourceField="1" uniqueName="[__Xl2].[Measures].[Count of Patient Admission Flag]"/>
        </ext>
      </extLst>
    </dataField>
  </dataFields>
  <formats count="2">
    <format dxfId="389">
      <pivotArea outline="0" collapsedLevelsAreSubtotals="1" fieldPosition="0"/>
    </format>
    <format dxfId="388">
      <pivotArea outline="0" fieldPosition="0">
        <references count="1">
          <reference field="4294967294" count="1">
            <x v="0"/>
          </reference>
        </references>
      </pivotArea>
    </format>
  </formats>
  <chartFormats count="4">
    <chartFormat chart="5" format="14" series="1">
      <pivotArea type="data" outline="0" fieldPosition="0">
        <references count="1">
          <reference field="4294967294" count="1" selected="0">
            <x v="0"/>
          </reference>
        </references>
      </pivotArea>
    </chartFormat>
    <chartFormat chart="5" format="15" series="1">
      <pivotArea type="data" outline="0" fieldPosition="0">
        <references count="1">
          <reference field="4294967294" count="1" selected="0">
            <x v="1"/>
          </reference>
        </references>
      </pivotArea>
    </chartFormat>
    <chartFormat chart="5" format="16">
      <pivotArea type="data" outline="0" fieldPosition="0">
        <references count="2">
          <reference field="4294967294" count="1" selected="0">
            <x v="0"/>
          </reference>
          <reference field="2" count="1" selected="0">
            <x v="0"/>
          </reference>
        </references>
      </pivotArea>
    </chartFormat>
    <chartFormat chart="5" format="17">
      <pivotArea type="data" outline="0" fieldPosition="0">
        <references count="2">
          <reference field="4294967294" count="1" selected="0">
            <x v="0"/>
          </reference>
          <reference field="2" count="1" selected="0">
            <x v="1"/>
          </reference>
        </references>
      </pivotArea>
    </chartFormat>
  </chartFormats>
  <pivotHierarchies count="36">
    <pivotHierarchy dragToData="1"/>
    <pivotHierarchy multipleItemSelectionAllowed="1" dragToData="1">
      <members count="1" level="1">
        <member name="[Calander_Table].[date (Month)].&amp;[Jul]"/>
      </members>
    </pivotHierarchy>
    <pivotHierarchy dragToData="1"/>
    <pivotHierarchy multipleItemSelectionAllowed="1" dragToData="1">
      <members count="1" level="1">
        <member name="[Cala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a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E5E13EAB-6B86-41EA-A545-D430614F79BA}" sourceName="[Calander_Table].[date (Month)]">
  <pivotTables>
    <pivotTable tabId="1" name="PivotTable4"/>
    <pivotTable tabId="1" name="PivotTable1"/>
    <pivotTable tabId="1" name="PivotTable2"/>
    <pivotTable tabId="1" name="PivotTable3"/>
    <pivotTable tabId="1" name="PivotTable6"/>
    <pivotTable tabId="1" name="PivotTable8"/>
    <pivotTable tabId="1" name="PivotTable9"/>
    <pivotTable tabId="1" name="PivotTable10"/>
    <pivotTable tabId="1" name="PivotTable11"/>
    <pivotTable tabId="1" name="PivotTable12"/>
    <pivotTable tabId="1" name="PivotTable13"/>
  </pivotTables>
  <data>
    <olap pivotCacheId="541240237">
      <levels count="2">
        <level uniqueName="[Calander_Table].[date (Month)].[(All)]" sourceCaption="(All)" count="0"/>
        <level uniqueName="[Calander_Table].[date (Month)].[date (Month)]" sourceCaption="date (Month)" count="12">
          <ranges>
            <range startItem="0">
              <i n="[Calander_Table].[date (Month)].&amp;[Jan]" c="Jan"/>
              <i n="[Calander_Table].[date (Month)].&amp;[Feb]" c="Feb"/>
              <i n="[Calander_Table].[date (Month)].&amp;[Mar]" c="Mar"/>
              <i n="[Calander_Table].[date (Month)].&amp;[Apr]" c="Apr"/>
              <i n="[Calander_Table].[date (Month)].&amp;[May]" c="May"/>
              <i n="[Calander_Table].[date (Month)].&amp;[Jun]" c="Jun"/>
              <i n="[Calander_Table].[date (Month)].&amp;[Jul]" c="Jul"/>
              <i n="[Calander_Table].[date (Month)].&amp;[Aug]" c="Aug"/>
              <i n="[Calander_Table].[date (Month)].&amp;[Sep]" c="Sep"/>
              <i n="[Calander_Table].[date (Month)].&amp;[Oct]" c="Oct"/>
              <i n="[Calander_Table].[date (Month)].&amp;[Nov]" c="Nov"/>
              <i n="[Calander_Table].[date (Month)].&amp;[Dec]" c="Dec"/>
            </range>
          </ranges>
        </level>
      </levels>
      <selections count="1">
        <selection n="[Calander_Table].[date (Month)].&amp;[Ju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A5B4370-BC45-47CF-A8D2-50C949E63C7C}" sourceName="[Calander_Table].[date (Year)]">
  <pivotTables>
    <pivotTable tabId="1" name="PivotTable4"/>
    <pivotTable tabId="1" name="PivotTable1"/>
    <pivotTable tabId="1" name="PivotTable2"/>
    <pivotTable tabId="1" name="PivotTable3"/>
    <pivotTable tabId="1" name="PivotTable6"/>
    <pivotTable tabId="1" name="PivotTable8"/>
    <pivotTable tabId="1" name="PivotTable9"/>
    <pivotTable tabId="1" name="PivotTable10"/>
    <pivotTable tabId="1" name="PivotTable11"/>
    <pivotTable tabId="1" name="PivotTable12"/>
    <pivotTable tabId="1" name="PivotTable13"/>
  </pivotTables>
  <data>
    <olap pivotCacheId="541240237">
      <levels count="2">
        <level uniqueName="[Calander_Table].[date (Year)].[(All)]" sourceCaption="(All)" count="0"/>
        <level uniqueName="[Calander_Table].[date (Year)].[date (Year)]" sourceCaption="date (Year)" count="2">
          <ranges>
            <range startItem="0">
              <i n="[Calander_Table].[date (Year)].&amp;[2023]" c="2023"/>
              <i n="[Calander_Table].[date (Year)].&amp;[2024]" c="2024"/>
            </range>
          </ranges>
        </level>
      </levels>
      <selections count="1">
        <selection n="[Cala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6704B63C-3169-42AB-BB98-DE42CE8B5022}" cache="Slicer_date__Month" caption="date (Month)" showCaption="0" level="1" style="SlicerStyleDark1" rowHeight="201168"/>
  <slicer name="date (Year)" xr10:uid="{19119828-DE35-4469-865E-9B6D37961FD2}" cache="Slicer_date__Year" caption="date (Year)" showCaption="0" level="1" style="Slicer Style 1"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4A8DC-E88F-4DB0-88D6-B80A1C6759A4}">
  <dimension ref="A1:N54"/>
  <sheetViews>
    <sheetView zoomScale="77" zoomScaleNormal="77" workbookViewId="0">
      <selection activeCell="A9" sqref="A9"/>
    </sheetView>
  </sheetViews>
  <sheetFormatPr defaultRowHeight="15" x14ac:dyDescent="0.25"/>
  <cols>
    <col min="1" max="1" width="34.28515625" bestFit="1" customWidth="1"/>
    <col min="2" max="2" width="29.85546875" bestFit="1" customWidth="1"/>
    <col min="3" max="3" width="30.85546875" bestFit="1" customWidth="1"/>
    <col min="4" max="4" width="7.7109375" bestFit="1" customWidth="1"/>
    <col min="5" max="5" width="13.7109375" bestFit="1" customWidth="1"/>
    <col min="6" max="6" width="25.140625" bestFit="1" customWidth="1"/>
    <col min="7" max="7" width="16.28515625" customWidth="1"/>
    <col min="8" max="8" width="11.28515625" bestFit="1" customWidth="1"/>
    <col min="9" max="9" width="26.85546875" bestFit="1" customWidth="1"/>
  </cols>
  <sheetData>
    <row r="1" spans="1:9" x14ac:dyDescent="0.25">
      <c r="A1" t="s">
        <v>1</v>
      </c>
    </row>
    <row r="2" spans="1:9" x14ac:dyDescent="0.25">
      <c r="A2" t="s">
        <v>0</v>
      </c>
      <c r="C2" s="11" t="s">
        <v>10</v>
      </c>
      <c r="D2" s="14" t="s">
        <v>13</v>
      </c>
      <c r="E2" s="12" t="s">
        <v>11</v>
      </c>
      <c r="F2" s="12"/>
    </row>
    <row r="3" spans="1:9" x14ac:dyDescent="0.25">
      <c r="A3" s="15">
        <v>428</v>
      </c>
      <c r="C3" s="8" t="s">
        <v>9</v>
      </c>
      <c r="D3" s="13">
        <f>C18</f>
        <v>214</v>
      </c>
      <c r="E3" s="10">
        <f>B18</f>
        <v>0.5</v>
      </c>
      <c r="F3" s="9"/>
    </row>
    <row r="4" spans="1:9" x14ac:dyDescent="0.25">
      <c r="A4" t="s">
        <v>38</v>
      </c>
      <c r="C4" s="8" t="s">
        <v>8</v>
      </c>
      <c r="D4" s="13">
        <f>C17</f>
        <v>214</v>
      </c>
      <c r="E4" s="10">
        <f>B17</f>
        <v>0.5</v>
      </c>
      <c r="F4" s="9"/>
    </row>
    <row r="5" spans="1:9" x14ac:dyDescent="0.25">
      <c r="A5" t="s">
        <v>2</v>
      </c>
    </row>
    <row r="6" spans="1:9" x14ac:dyDescent="0.25">
      <c r="A6" s="2">
        <v>35.434579439252339</v>
      </c>
      <c r="E6" s="1" t="s">
        <v>4</v>
      </c>
      <c r="F6" t="s">
        <v>0</v>
      </c>
    </row>
    <row r="7" spans="1:9" x14ac:dyDescent="0.25">
      <c r="A7" t="s">
        <v>39</v>
      </c>
      <c r="E7" s="4" t="s">
        <v>41</v>
      </c>
      <c r="F7" s="6">
        <v>11</v>
      </c>
    </row>
    <row r="8" spans="1:9" x14ac:dyDescent="0.25">
      <c r="A8" t="s">
        <v>3</v>
      </c>
      <c r="E8" s="4" t="s">
        <v>42</v>
      </c>
      <c r="F8" s="6">
        <v>15</v>
      </c>
      <c r="H8" s="1" t="s">
        <v>4</v>
      </c>
      <c r="I8" t="s">
        <v>2</v>
      </c>
    </row>
    <row r="9" spans="1:9" x14ac:dyDescent="0.25">
      <c r="A9" s="2">
        <v>5.6442307692307692</v>
      </c>
      <c r="E9" s="4" t="s">
        <v>43</v>
      </c>
      <c r="F9" s="6">
        <v>17</v>
      </c>
      <c r="H9" s="4" t="s">
        <v>41</v>
      </c>
      <c r="I9" s="5">
        <v>33.81818181818182</v>
      </c>
    </row>
    <row r="10" spans="1:9" x14ac:dyDescent="0.25">
      <c r="A10" s="2"/>
      <c r="E10" s="4" t="s">
        <v>44</v>
      </c>
      <c r="F10" s="6">
        <v>15</v>
      </c>
      <c r="H10" s="4" t="s">
        <v>42</v>
      </c>
      <c r="I10" s="5">
        <v>34.93333333333333</v>
      </c>
    </row>
    <row r="11" spans="1:9" x14ac:dyDescent="0.25">
      <c r="A11" s="1" t="s">
        <v>4</v>
      </c>
      <c r="B11" t="s">
        <v>0</v>
      </c>
      <c r="E11" s="4" t="s">
        <v>45</v>
      </c>
      <c r="F11" s="6">
        <v>18</v>
      </c>
      <c r="H11" s="4" t="s">
        <v>43</v>
      </c>
      <c r="I11" s="5">
        <v>35</v>
      </c>
    </row>
    <row r="12" spans="1:9" x14ac:dyDescent="0.25">
      <c r="A12" s="4" t="s">
        <v>6</v>
      </c>
      <c r="B12" s="5">
        <v>428</v>
      </c>
      <c r="E12" s="4" t="s">
        <v>46</v>
      </c>
      <c r="F12" s="6">
        <v>14</v>
      </c>
      <c r="H12" s="4" t="s">
        <v>44</v>
      </c>
      <c r="I12" s="5">
        <v>38.333333333333336</v>
      </c>
    </row>
    <row r="13" spans="1:9" x14ac:dyDescent="0.25">
      <c r="A13" s="4" t="s">
        <v>5</v>
      </c>
      <c r="B13" s="5">
        <v>428</v>
      </c>
      <c r="E13" s="4" t="s">
        <v>47</v>
      </c>
      <c r="F13" s="6">
        <v>15</v>
      </c>
      <c r="H13" s="4" t="s">
        <v>45</v>
      </c>
      <c r="I13" s="5">
        <v>43.666666666666664</v>
      </c>
    </row>
    <row r="14" spans="1:9" x14ac:dyDescent="0.25">
      <c r="A14" s="2"/>
      <c r="E14" s="4" t="s">
        <v>48</v>
      </c>
      <c r="F14" s="6">
        <v>19</v>
      </c>
      <c r="H14" s="4" t="s">
        <v>46</v>
      </c>
      <c r="I14" s="5">
        <v>34.5</v>
      </c>
    </row>
    <row r="15" spans="1:9" x14ac:dyDescent="0.25">
      <c r="A15" t="s">
        <v>40</v>
      </c>
      <c r="E15" s="4" t="s">
        <v>49</v>
      </c>
      <c r="F15" s="6">
        <v>7</v>
      </c>
      <c r="H15" s="4" t="s">
        <v>47</v>
      </c>
      <c r="I15" s="5">
        <v>34.133333333333333</v>
      </c>
    </row>
    <row r="16" spans="1:9" x14ac:dyDescent="0.25">
      <c r="A16" s="1" t="s">
        <v>4</v>
      </c>
      <c r="B16" t="s">
        <v>7</v>
      </c>
      <c r="C16" t="s">
        <v>12</v>
      </c>
      <c r="E16" s="4" t="s">
        <v>50</v>
      </c>
      <c r="F16" s="6">
        <v>20</v>
      </c>
      <c r="H16" s="4" t="s">
        <v>48</v>
      </c>
      <c r="I16" s="5">
        <v>36.578947368421055</v>
      </c>
    </row>
    <row r="17" spans="1:14" x14ac:dyDescent="0.25">
      <c r="A17" s="4" t="s">
        <v>8</v>
      </c>
      <c r="B17" s="7">
        <v>0.5</v>
      </c>
      <c r="C17" s="2">
        <v>214</v>
      </c>
      <c r="E17" s="4" t="s">
        <v>51</v>
      </c>
      <c r="F17" s="6">
        <v>15</v>
      </c>
      <c r="H17" s="4" t="s">
        <v>49</v>
      </c>
      <c r="I17" s="5">
        <v>43.142857142857146</v>
      </c>
    </row>
    <row r="18" spans="1:14" x14ac:dyDescent="0.25">
      <c r="A18" s="4" t="s">
        <v>9</v>
      </c>
      <c r="B18" s="7">
        <v>0.5</v>
      </c>
      <c r="C18" s="2">
        <v>214</v>
      </c>
      <c r="E18" s="4" t="s">
        <v>52</v>
      </c>
      <c r="F18" s="6">
        <v>15</v>
      </c>
      <c r="H18" s="4" t="s">
        <v>50</v>
      </c>
      <c r="I18" s="5">
        <v>31.1</v>
      </c>
      <c r="K18" s="5"/>
    </row>
    <row r="19" spans="1:14" x14ac:dyDescent="0.25">
      <c r="A19" s="4" t="s">
        <v>5</v>
      </c>
      <c r="B19" s="7">
        <v>1</v>
      </c>
      <c r="C19" s="2">
        <v>428</v>
      </c>
      <c r="E19" s="4" t="s">
        <v>53</v>
      </c>
      <c r="F19" s="6">
        <v>14</v>
      </c>
      <c r="H19" s="4" t="s">
        <v>51</v>
      </c>
      <c r="I19" s="5">
        <v>34.333333333333336</v>
      </c>
      <c r="K19" s="5"/>
    </row>
    <row r="20" spans="1:14" x14ac:dyDescent="0.25">
      <c r="E20" s="4" t="s">
        <v>54</v>
      </c>
      <c r="F20" s="6">
        <v>16</v>
      </c>
      <c r="H20" s="4" t="s">
        <v>52</v>
      </c>
      <c r="I20" s="5">
        <v>28.6</v>
      </c>
      <c r="K20" s="5"/>
    </row>
    <row r="21" spans="1:14" x14ac:dyDescent="0.25">
      <c r="A21" s="1" t="s">
        <v>4</v>
      </c>
      <c r="B21" t="s">
        <v>25</v>
      </c>
      <c r="E21" s="4" t="s">
        <v>55</v>
      </c>
      <c r="F21" s="6">
        <v>14</v>
      </c>
      <c r="H21" s="4" t="s">
        <v>53</v>
      </c>
      <c r="I21" s="5">
        <v>32</v>
      </c>
      <c r="K21" s="5"/>
    </row>
    <row r="22" spans="1:14" x14ac:dyDescent="0.25">
      <c r="A22" s="4" t="s">
        <v>24</v>
      </c>
      <c r="B22" s="2">
        <v>5</v>
      </c>
      <c r="E22" s="4" t="s">
        <v>56</v>
      </c>
      <c r="F22" s="6">
        <v>16</v>
      </c>
      <c r="H22" s="4" t="s">
        <v>54</v>
      </c>
      <c r="I22" s="5">
        <v>37.625</v>
      </c>
      <c r="K22" s="5"/>
    </row>
    <row r="23" spans="1:14" x14ac:dyDescent="0.25">
      <c r="A23" s="4" t="s">
        <v>18</v>
      </c>
      <c r="B23" s="2">
        <v>7</v>
      </c>
      <c r="E23" s="4" t="s">
        <v>57</v>
      </c>
      <c r="F23" s="6">
        <v>14</v>
      </c>
      <c r="H23" s="4" t="s">
        <v>55</v>
      </c>
      <c r="I23" s="5">
        <v>37.785714285714285</v>
      </c>
      <c r="K23" s="5"/>
    </row>
    <row r="24" spans="1:14" x14ac:dyDescent="0.25">
      <c r="A24" s="4" t="s">
        <v>17</v>
      </c>
      <c r="B24" s="2">
        <v>7</v>
      </c>
      <c r="E24" s="4" t="s">
        <v>58</v>
      </c>
      <c r="F24" s="6">
        <v>13</v>
      </c>
      <c r="H24" s="4" t="s">
        <v>56</v>
      </c>
      <c r="I24" s="5">
        <v>36.375</v>
      </c>
      <c r="K24" s="5"/>
    </row>
    <row r="25" spans="1:14" x14ac:dyDescent="0.25">
      <c r="A25" s="4" t="s">
        <v>23</v>
      </c>
      <c r="B25" s="2">
        <v>8</v>
      </c>
      <c r="E25" s="4" t="s">
        <v>59</v>
      </c>
      <c r="F25" s="6">
        <v>19</v>
      </c>
      <c r="H25" s="4" t="s">
        <v>57</v>
      </c>
      <c r="I25" s="5">
        <v>38.857142857142854</v>
      </c>
      <c r="K25" s="5"/>
      <c r="N25" s="4"/>
    </row>
    <row r="26" spans="1:14" x14ac:dyDescent="0.25">
      <c r="A26" s="4" t="s">
        <v>20</v>
      </c>
      <c r="B26" s="2">
        <v>10</v>
      </c>
      <c r="E26" s="4" t="s">
        <v>60</v>
      </c>
      <c r="F26" s="6">
        <v>15</v>
      </c>
      <c r="H26" s="4" t="s">
        <v>58</v>
      </c>
      <c r="I26" s="5">
        <v>37</v>
      </c>
      <c r="K26" s="5"/>
      <c r="N26" s="4"/>
    </row>
    <row r="27" spans="1:14" x14ac:dyDescent="0.25">
      <c r="A27" s="4" t="s">
        <v>22</v>
      </c>
      <c r="B27" s="2">
        <v>44</v>
      </c>
      <c r="E27" s="4" t="s">
        <v>61</v>
      </c>
      <c r="F27" s="6">
        <v>18</v>
      </c>
      <c r="H27" s="4" t="s">
        <v>59</v>
      </c>
      <c r="I27" s="5">
        <v>33</v>
      </c>
      <c r="K27" s="5"/>
      <c r="N27" s="4"/>
    </row>
    <row r="28" spans="1:14" x14ac:dyDescent="0.25">
      <c r="A28" s="4" t="s">
        <v>19</v>
      </c>
      <c r="B28" s="2">
        <v>86</v>
      </c>
      <c r="E28" s="4" t="s">
        <v>62</v>
      </c>
      <c r="F28" s="6">
        <v>14</v>
      </c>
      <c r="H28" s="4" t="s">
        <v>60</v>
      </c>
      <c r="I28" s="5">
        <v>33.333333333333336</v>
      </c>
      <c r="K28" s="5"/>
      <c r="N28" s="4"/>
    </row>
    <row r="29" spans="1:14" x14ac:dyDescent="0.25">
      <c r="A29" s="4" t="s">
        <v>21</v>
      </c>
      <c r="B29" s="2">
        <v>261</v>
      </c>
      <c r="E29" s="4" t="s">
        <v>63</v>
      </c>
      <c r="F29" s="6">
        <v>16</v>
      </c>
      <c r="H29" s="4" t="s">
        <v>61</v>
      </c>
      <c r="I29" s="5">
        <v>36.944444444444443</v>
      </c>
      <c r="K29" s="5"/>
      <c r="N29" s="4"/>
    </row>
    <row r="30" spans="1:14" x14ac:dyDescent="0.25">
      <c r="A30" s="4" t="s">
        <v>5</v>
      </c>
      <c r="B30" s="2">
        <v>428</v>
      </c>
      <c r="E30" s="4" t="s">
        <v>64</v>
      </c>
      <c r="F30" s="6">
        <v>13</v>
      </c>
      <c r="H30" s="4" t="s">
        <v>62</v>
      </c>
      <c r="I30" s="5">
        <v>34.357142857142854</v>
      </c>
      <c r="K30" s="5"/>
      <c r="N30" s="4"/>
    </row>
    <row r="31" spans="1:14" x14ac:dyDescent="0.25">
      <c r="E31" s="4" t="s">
        <v>65</v>
      </c>
      <c r="F31" s="6">
        <v>12</v>
      </c>
      <c r="H31" s="4" t="s">
        <v>63</v>
      </c>
      <c r="I31" s="5">
        <v>39</v>
      </c>
      <c r="K31" s="5"/>
      <c r="N31" s="4"/>
    </row>
    <row r="32" spans="1:14" x14ac:dyDescent="0.25">
      <c r="A32" s="4"/>
      <c r="E32" s="4" t="s">
        <v>66</v>
      </c>
      <c r="F32" s="6">
        <v>19</v>
      </c>
      <c r="H32" s="4" t="s">
        <v>64</v>
      </c>
      <c r="I32" s="5">
        <v>32</v>
      </c>
      <c r="K32" s="5"/>
      <c r="N32" s="4"/>
    </row>
    <row r="33" spans="1:14" x14ac:dyDescent="0.25">
      <c r="A33" s="1" t="s">
        <v>4</v>
      </c>
      <c r="B33" t="s">
        <v>14</v>
      </c>
      <c r="E33" s="4" t="s">
        <v>67</v>
      </c>
      <c r="F33" s="6">
        <v>19</v>
      </c>
      <c r="H33" s="4" t="s">
        <v>65</v>
      </c>
      <c r="I33" s="5">
        <v>33.5</v>
      </c>
      <c r="K33" s="5"/>
      <c r="N33" s="4"/>
    </row>
    <row r="34" spans="1:14" x14ac:dyDescent="0.25">
      <c r="A34" s="4" t="s">
        <v>15</v>
      </c>
      <c r="B34" s="6">
        <v>218</v>
      </c>
      <c r="E34" s="4" t="s">
        <v>68</v>
      </c>
      <c r="F34" s="6">
        <v>15</v>
      </c>
      <c r="H34" s="4" t="s">
        <v>66</v>
      </c>
      <c r="I34" s="5">
        <v>37.89473684210526</v>
      </c>
      <c r="K34" s="5"/>
      <c r="N34" s="4"/>
    </row>
    <row r="35" spans="1:14" x14ac:dyDescent="0.25">
      <c r="A35" s="4" t="s">
        <v>16</v>
      </c>
      <c r="B35" s="6">
        <v>210</v>
      </c>
      <c r="E35" s="4" t="s">
        <v>5</v>
      </c>
      <c r="F35" s="5">
        <v>428</v>
      </c>
      <c r="H35" s="4" t="s">
        <v>67</v>
      </c>
      <c r="I35" s="5">
        <v>32</v>
      </c>
      <c r="K35" s="5"/>
      <c r="N35" s="4"/>
    </row>
    <row r="36" spans="1:14" x14ac:dyDescent="0.25">
      <c r="A36" s="4" t="s">
        <v>5</v>
      </c>
      <c r="B36" s="2">
        <v>428</v>
      </c>
      <c r="H36" s="4" t="s">
        <v>68</v>
      </c>
      <c r="I36" s="5">
        <v>35.133333333333333</v>
      </c>
      <c r="K36" s="5"/>
      <c r="N36" s="4"/>
    </row>
    <row r="37" spans="1:14" x14ac:dyDescent="0.25">
      <c r="H37" s="4" t="s">
        <v>5</v>
      </c>
      <c r="I37" s="5">
        <v>35.434579439252339</v>
      </c>
      <c r="K37" s="5"/>
      <c r="N37" s="4"/>
    </row>
    <row r="38" spans="1:14" x14ac:dyDescent="0.25">
      <c r="A38" s="4"/>
      <c r="K38" s="5"/>
      <c r="N38" s="4"/>
    </row>
    <row r="39" spans="1:14" x14ac:dyDescent="0.25">
      <c r="A39" s="1" t="s">
        <v>4</v>
      </c>
      <c r="B39" t="s">
        <v>29</v>
      </c>
      <c r="K39" s="5"/>
      <c r="N39" s="4"/>
    </row>
    <row r="40" spans="1:14" x14ac:dyDescent="0.25">
      <c r="A40" s="4" t="s">
        <v>31</v>
      </c>
      <c r="B40" s="6">
        <v>54</v>
      </c>
      <c r="K40" s="5"/>
      <c r="N40" s="4"/>
    </row>
    <row r="41" spans="1:14" x14ac:dyDescent="0.25">
      <c r="A41" s="4" t="s">
        <v>32</v>
      </c>
      <c r="B41" s="6">
        <v>46</v>
      </c>
      <c r="K41" s="5"/>
      <c r="N41" s="4"/>
    </row>
    <row r="42" spans="1:14" x14ac:dyDescent="0.25">
      <c r="A42" s="4" t="s">
        <v>33</v>
      </c>
      <c r="B42" s="6">
        <v>71</v>
      </c>
      <c r="K42" s="5"/>
      <c r="N42" s="4"/>
    </row>
    <row r="43" spans="1:14" x14ac:dyDescent="0.25">
      <c r="A43" s="4" t="s">
        <v>34</v>
      </c>
      <c r="B43" s="6">
        <v>49</v>
      </c>
      <c r="K43" s="5"/>
      <c r="N43" s="4"/>
    </row>
    <row r="44" spans="1:14" x14ac:dyDescent="0.25">
      <c r="A44" s="4" t="s">
        <v>35</v>
      </c>
      <c r="B44" s="6">
        <v>56</v>
      </c>
      <c r="K44" s="5"/>
      <c r="N44" s="4"/>
    </row>
    <row r="45" spans="1:14" x14ac:dyDescent="0.25">
      <c r="A45" s="4" t="s">
        <v>36</v>
      </c>
      <c r="B45" s="6">
        <v>62</v>
      </c>
      <c r="K45" s="5"/>
      <c r="N45" s="4"/>
    </row>
    <row r="46" spans="1:14" x14ac:dyDescent="0.25">
      <c r="A46" s="4" t="s">
        <v>37</v>
      </c>
      <c r="B46" s="6">
        <v>34</v>
      </c>
      <c r="K46" s="5"/>
      <c r="N46" s="4"/>
    </row>
    <row r="47" spans="1:14" x14ac:dyDescent="0.25">
      <c r="A47" s="4" t="s">
        <v>30</v>
      </c>
      <c r="B47" s="6">
        <v>56</v>
      </c>
      <c r="K47" s="5"/>
      <c r="N47" s="4"/>
    </row>
    <row r="48" spans="1:14" x14ac:dyDescent="0.25">
      <c r="A48" s="4" t="s">
        <v>5</v>
      </c>
      <c r="B48" s="2">
        <v>428</v>
      </c>
      <c r="K48" s="5"/>
      <c r="N48" s="4"/>
    </row>
    <row r="51" spans="1:2" x14ac:dyDescent="0.25">
      <c r="A51" s="1" t="s">
        <v>4</v>
      </c>
      <c r="B51" t="s">
        <v>26</v>
      </c>
    </row>
    <row r="52" spans="1:2" x14ac:dyDescent="0.25">
      <c r="A52" s="4" t="s">
        <v>27</v>
      </c>
      <c r="B52" s="15">
        <v>258</v>
      </c>
    </row>
    <row r="53" spans="1:2" x14ac:dyDescent="0.25">
      <c r="A53" s="4" t="s">
        <v>28</v>
      </c>
      <c r="B53" s="15">
        <v>170</v>
      </c>
    </row>
    <row r="54" spans="1:2" x14ac:dyDescent="0.25">
      <c r="A54" s="4" t="s">
        <v>5</v>
      </c>
      <c r="B54" s="2">
        <v>428</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AF381-33A9-4247-9D50-EEBF753382DF}">
  <dimension ref="A1:P21"/>
  <sheetViews>
    <sheetView showGridLines="0" tabSelected="1" zoomScale="130" zoomScaleNormal="130" workbookViewId="0">
      <selection activeCell="C23" sqref="B23:C23"/>
    </sheetView>
  </sheetViews>
  <sheetFormatPr defaultRowHeight="15" x14ac:dyDescent="0.25"/>
  <sheetData>
    <row r="1" spans="1:16" x14ac:dyDescent="0.25">
      <c r="A1" s="3"/>
      <c r="B1" s="3"/>
      <c r="C1" s="3"/>
      <c r="D1" s="3"/>
      <c r="E1" s="3"/>
      <c r="F1" s="3"/>
      <c r="G1" s="3"/>
      <c r="H1" s="3"/>
      <c r="I1" s="3"/>
      <c r="J1" s="3"/>
      <c r="K1" s="3"/>
      <c r="L1" s="3"/>
      <c r="M1" s="3"/>
      <c r="N1" s="3"/>
      <c r="O1" s="3"/>
      <c r="P1" s="3"/>
    </row>
    <row r="2" spans="1:16" x14ac:dyDescent="0.25">
      <c r="A2" s="3"/>
      <c r="B2" s="3"/>
      <c r="C2" s="3"/>
      <c r="D2" s="3"/>
      <c r="E2" s="3"/>
      <c r="F2" s="3"/>
      <c r="G2" s="3"/>
      <c r="H2" s="3"/>
      <c r="I2" s="3"/>
      <c r="J2" s="3"/>
      <c r="K2" s="3"/>
      <c r="L2" s="3"/>
      <c r="M2" s="3"/>
      <c r="N2" s="3"/>
      <c r="O2" s="3"/>
      <c r="P2" s="3"/>
    </row>
    <row r="3" spans="1:16" x14ac:dyDescent="0.25">
      <c r="A3" s="3"/>
      <c r="B3" s="3"/>
      <c r="C3" s="3"/>
      <c r="D3" s="3"/>
      <c r="E3" s="3"/>
      <c r="F3" s="3"/>
      <c r="G3" s="3"/>
      <c r="H3" s="3"/>
      <c r="I3" s="3"/>
      <c r="J3" s="3"/>
      <c r="K3" s="3"/>
      <c r="L3" s="3"/>
      <c r="M3" s="3"/>
      <c r="N3" s="3"/>
      <c r="O3" s="3"/>
      <c r="P3" s="3"/>
    </row>
    <row r="4" spans="1:16" x14ac:dyDescent="0.25">
      <c r="A4" s="3"/>
      <c r="B4" s="3"/>
      <c r="C4" s="3"/>
      <c r="D4" s="3"/>
      <c r="E4" s="3"/>
      <c r="F4" s="3"/>
      <c r="G4" s="3"/>
      <c r="H4" s="3"/>
      <c r="I4" s="3"/>
      <c r="J4" s="3"/>
      <c r="K4" s="3"/>
      <c r="L4" s="3"/>
      <c r="M4" s="3"/>
      <c r="N4" s="3"/>
      <c r="O4" s="3"/>
      <c r="P4" s="3"/>
    </row>
    <row r="5" spans="1:16" x14ac:dyDescent="0.25">
      <c r="A5" s="3"/>
      <c r="B5" s="3"/>
      <c r="C5" s="3"/>
      <c r="D5" s="3"/>
      <c r="E5" s="3"/>
      <c r="F5" s="3"/>
      <c r="G5" s="3"/>
      <c r="H5" s="3"/>
      <c r="I5" s="3"/>
      <c r="J5" s="3"/>
      <c r="K5" s="3"/>
      <c r="L5" s="3"/>
      <c r="M5" s="3"/>
      <c r="N5" s="3"/>
      <c r="O5" s="3"/>
      <c r="P5" s="3"/>
    </row>
    <row r="6" spans="1:16" x14ac:dyDescent="0.25">
      <c r="A6" s="3"/>
      <c r="B6" s="3"/>
      <c r="C6" s="3"/>
      <c r="D6" s="3"/>
      <c r="E6" s="3"/>
      <c r="F6" s="3"/>
      <c r="G6" s="3"/>
      <c r="H6" s="3"/>
      <c r="I6" s="3"/>
      <c r="J6" s="3"/>
      <c r="K6" s="3"/>
      <c r="L6" s="3"/>
      <c r="M6" s="3"/>
      <c r="N6" s="3"/>
      <c r="O6" s="3"/>
      <c r="P6" s="3"/>
    </row>
    <row r="7" spans="1:16" x14ac:dyDescent="0.25">
      <c r="A7" s="3"/>
      <c r="B7" s="3"/>
      <c r="C7" s="3"/>
      <c r="D7" s="3"/>
      <c r="E7" s="3"/>
      <c r="F7" s="3"/>
      <c r="G7" s="3"/>
      <c r="H7" s="3"/>
      <c r="I7" s="3"/>
      <c r="J7" s="3"/>
      <c r="K7" s="3"/>
      <c r="L7" s="3"/>
      <c r="M7" s="3"/>
      <c r="N7" s="3"/>
      <c r="O7" s="3"/>
      <c r="P7" s="3"/>
    </row>
    <row r="8" spans="1:16" x14ac:dyDescent="0.25">
      <c r="A8" s="3"/>
      <c r="B8" s="3"/>
      <c r="C8" s="3"/>
      <c r="D8" s="3"/>
      <c r="E8" s="3"/>
      <c r="F8" s="3"/>
      <c r="G8" s="3"/>
      <c r="H8" s="3"/>
      <c r="I8" s="3"/>
      <c r="J8" s="3"/>
      <c r="K8" s="3"/>
      <c r="L8" s="3"/>
      <c r="M8" s="3"/>
      <c r="N8" s="3"/>
      <c r="O8" s="3"/>
      <c r="P8" s="3"/>
    </row>
    <row r="9" spans="1:16" x14ac:dyDescent="0.25">
      <c r="A9" s="3"/>
      <c r="B9" s="3"/>
      <c r="C9" s="3"/>
      <c r="D9" s="3"/>
      <c r="E9" s="3"/>
      <c r="F9" s="3"/>
      <c r="G9" s="3"/>
      <c r="H9" s="3"/>
      <c r="I9" s="3"/>
      <c r="J9" s="3"/>
      <c r="K9" s="3"/>
      <c r="L9" s="3"/>
      <c r="M9" s="3"/>
      <c r="N9" s="3"/>
      <c r="O9" s="3"/>
      <c r="P9" s="3"/>
    </row>
    <row r="10" spans="1:16" x14ac:dyDescent="0.25">
      <c r="A10" s="3"/>
      <c r="B10" s="3"/>
      <c r="C10" s="3"/>
      <c r="D10" s="3"/>
      <c r="E10" s="3"/>
      <c r="F10" s="3"/>
      <c r="G10" s="3"/>
      <c r="H10" s="3"/>
      <c r="I10" s="3"/>
      <c r="J10" s="3"/>
      <c r="K10" s="3"/>
      <c r="L10" s="3"/>
      <c r="M10" s="3"/>
      <c r="N10" s="3"/>
      <c r="O10" s="3"/>
      <c r="P10" s="3"/>
    </row>
    <row r="11" spans="1:16" x14ac:dyDescent="0.25">
      <c r="A11" s="3"/>
      <c r="B11" s="3"/>
      <c r="C11" s="3"/>
      <c r="D11" s="3"/>
      <c r="E11" s="3"/>
      <c r="F11" s="3"/>
      <c r="G11" s="3"/>
      <c r="H11" s="3"/>
      <c r="I11" s="3"/>
      <c r="J11" s="3"/>
      <c r="K11" s="3"/>
      <c r="L11" s="3"/>
      <c r="M11" s="3"/>
      <c r="N11" s="3"/>
      <c r="O11" s="3"/>
      <c r="P11" s="3"/>
    </row>
    <row r="12" spans="1:16" x14ac:dyDescent="0.25">
      <c r="A12" s="3"/>
      <c r="B12" s="3"/>
      <c r="C12" s="3"/>
      <c r="D12" s="3"/>
      <c r="E12" s="3"/>
      <c r="F12" s="3"/>
      <c r="G12" s="3"/>
      <c r="H12" s="3"/>
      <c r="I12" s="3"/>
      <c r="J12" s="3"/>
      <c r="K12" s="3"/>
      <c r="L12" s="3"/>
      <c r="M12" s="3"/>
      <c r="N12" s="3"/>
      <c r="O12" s="3"/>
      <c r="P12" s="3"/>
    </row>
    <row r="13" spans="1:16" x14ac:dyDescent="0.25">
      <c r="A13" s="3"/>
      <c r="B13" s="3"/>
      <c r="C13" s="3"/>
      <c r="D13" s="3"/>
      <c r="E13" s="3"/>
      <c r="F13" s="3"/>
      <c r="G13" s="3"/>
      <c r="H13" s="3"/>
      <c r="I13" s="3"/>
      <c r="J13" s="3"/>
      <c r="K13" s="3"/>
      <c r="L13" s="3"/>
      <c r="M13" s="3"/>
      <c r="N13" s="3"/>
      <c r="O13" s="3"/>
      <c r="P13" s="3"/>
    </row>
    <row r="14" spans="1:16" x14ac:dyDescent="0.25">
      <c r="A14" s="3"/>
      <c r="B14" s="3"/>
      <c r="C14" s="3"/>
      <c r="D14" s="3"/>
      <c r="E14" s="3"/>
      <c r="F14" s="3"/>
      <c r="G14" s="3"/>
      <c r="H14" s="3"/>
      <c r="I14" s="3"/>
      <c r="J14" s="3"/>
      <c r="K14" s="3"/>
      <c r="L14" s="3"/>
      <c r="M14" s="3"/>
      <c r="N14" s="3"/>
      <c r="O14" s="3"/>
      <c r="P14" s="3"/>
    </row>
    <row r="15" spans="1:16" x14ac:dyDescent="0.25">
      <c r="A15" s="3"/>
      <c r="B15" s="3"/>
      <c r="C15" s="3"/>
      <c r="D15" s="3"/>
      <c r="E15" s="3"/>
      <c r="F15" s="3"/>
      <c r="G15" s="3"/>
      <c r="H15" s="3"/>
      <c r="I15" s="3"/>
      <c r="J15" s="3"/>
      <c r="K15" s="3"/>
      <c r="L15" s="3"/>
      <c r="M15" s="3"/>
      <c r="N15" s="3"/>
      <c r="O15" s="3"/>
      <c r="P15" s="3"/>
    </row>
    <row r="16" spans="1:16" x14ac:dyDescent="0.25">
      <c r="A16" s="3"/>
      <c r="B16" s="3"/>
      <c r="C16" s="3"/>
      <c r="D16" s="3"/>
      <c r="E16" s="3"/>
      <c r="F16" s="3"/>
      <c r="G16" s="3"/>
      <c r="H16" s="3"/>
      <c r="I16" s="3"/>
      <c r="J16" s="3"/>
      <c r="K16" s="3"/>
      <c r="L16" s="3"/>
      <c r="M16" s="3"/>
      <c r="N16" s="3"/>
      <c r="O16" s="3"/>
      <c r="P16" s="3"/>
    </row>
    <row r="17" spans="1:16" x14ac:dyDescent="0.25">
      <c r="A17" s="3"/>
      <c r="B17" s="3"/>
      <c r="C17" s="3"/>
      <c r="D17" s="3"/>
      <c r="E17" s="3"/>
      <c r="F17" s="3"/>
      <c r="G17" s="3"/>
      <c r="H17" s="3"/>
      <c r="I17" s="3"/>
      <c r="J17" s="3"/>
      <c r="K17" s="3"/>
      <c r="L17" s="3"/>
      <c r="M17" s="3"/>
      <c r="N17" s="3"/>
      <c r="O17" s="3"/>
      <c r="P17" s="3"/>
    </row>
    <row r="18" spans="1:16" x14ac:dyDescent="0.25">
      <c r="A18" s="3"/>
      <c r="B18" s="3"/>
      <c r="C18" s="3"/>
      <c r="D18" s="3"/>
      <c r="E18" s="3"/>
      <c r="F18" s="3"/>
      <c r="G18" s="3"/>
      <c r="H18" s="3"/>
      <c r="I18" s="3"/>
      <c r="J18" s="3"/>
      <c r="K18" s="3"/>
      <c r="L18" s="3"/>
      <c r="M18" s="3"/>
      <c r="N18" s="3"/>
      <c r="O18" s="3"/>
      <c r="P18" s="3"/>
    </row>
    <row r="19" spans="1:16" x14ac:dyDescent="0.25">
      <c r="A19" s="3"/>
      <c r="B19" s="3"/>
      <c r="C19" s="3"/>
      <c r="D19" s="3"/>
      <c r="E19" s="3"/>
      <c r="F19" s="3"/>
      <c r="G19" s="3"/>
      <c r="H19" s="3"/>
      <c r="I19" s="3"/>
      <c r="J19" s="3"/>
      <c r="K19" s="3"/>
      <c r="L19" s="3"/>
      <c r="M19" s="3"/>
      <c r="N19" s="3"/>
      <c r="O19" s="3"/>
      <c r="P19" s="3"/>
    </row>
    <row r="20" spans="1:16" x14ac:dyDescent="0.25">
      <c r="A20" s="3"/>
      <c r="B20" s="3"/>
      <c r="C20" s="3"/>
      <c r="D20" s="3"/>
      <c r="E20" s="3"/>
      <c r="F20" s="3"/>
      <c r="G20" s="3"/>
      <c r="H20" s="3"/>
      <c r="I20" s="3"/>
      <c r="J20" s="3"/>
      <c r="K20" s="3"/>
      <c r="L20" s="3"/>
      <c r="M20" s="3"/>
      <c r="N20" s="3"/>
      <c r="O20" s="3"/>
      <c r="P20" s="3"/>
    </row>
    <row r="21" spans="1:16" x14ac:dyDescent="0.25">
      <c r="A21" s="3"/>
      <c r="B21" s="3"/>
      <c r="C21" s="3"/>
      <c r="D21" s="3"/>
      <c r="E21" s="3"/>
      <c r="F21" s="3"/>
      <c r="G21" s="3"/>
      <c r="H21" s="3"/>
      <c r="I21" s="3"/>
      <c r="J21" s="3"/>
      <c r="K21" s="3"/>
      <c r="L21" s="3"/>
      <c r="M21" s="3"/>
      <c r="N21" s="3"/>
      <c r="O21" s="3"/>
      <c r="P21"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5209B979-0749-4063-A009-D8A6926E1D4B}">
  <ds:schemaRefs/>
</ds:datastoreItem>
</file>

<file path=customXml/itemProps2.xml><?xml version="1.0" encoding="utf-8"?>
<ds:datastoreItem xmlns:ds="http://schemas.openxmlformats.org/officeDocument/2006/customXml" ds:itemID="{ADEA52C0-AEA9-4739-913C-0D7D5D322E0D}">
  <ds:schemaRefs/>
</ds:datastoreItem>
</file>

<file path=customXml/itemProps3.xml><?xml version="1.0" encoding="utf-8"?>
<ds:datastoreItem xmlns:ds="http://schemas.openxmlformats.org/officeDocument/2006/customXml" ds:itemID="{DF5489A5-276F-45F0-AD9C-D0E19E64D647}">
  <ds:schemaRefs/>
</ds:datastoreItem>
</file>

<file path=customXml/itemProps4.xml><?xml version="1.0" encoding="utf-8"?>
<ds:datastoreItem xmlns:ds="http://schemas.openxmlformats.org/officeDocument/2006/customXml" ds:itemID="{BA34DD47-E1F5-49CC-B76E-28C818607D4E}">
  <ds:schemaRefs/>
</ds:datastoreItem>
</file>

<file path=customXml/itemProps5.xml><?xml version="1.0" encoding="utf-8"?>
<ds:datastoreItem xmlns:ds="http://schemas.openxmlformats.org/officeDocument/2006/customXml" ds:itemID="{8C29A2C5-3445-490C-844E-8371E9973507}">
  <ds:schemaRefs/>
</ds:datastoreItem>
</file>

<file path=customXml/itemProps6.xml><?xml version="1.0" encoding="utf-8"?>
<ds:datastoreItem xmlns:ds="http://schemas.openxmlformats.org/officeDocument/2006/customXml" ds:itemID="{770A561D-10D2-4238-9EE4-E6B187759C30}">
  <ds:schemaRefs/>
</ds:datastoreItem>
</file>

<file path=customXml/itemProps7.xml><?xml version="1.0" encoding="utf-8"?>
<ds:datastoreItem xmlns:ds="http://schemas.openxmlformats.org/officeDocument/2006/customXml" ds:itemID="{C5B00EFD-D693-4387-9DA9-491DE8D87DD2}">
  <ds:schemaRefs>
    <ds:schemaRef ds:uri="http://schemas.microsoft.com/DataMashup"/>
  </ds:schemaRefs>
</ds:datastoreItem>
</file>

<file path=customXml/itemProps8.xml><?xml version="1.0" encoding="utf-8"?>
<ds:datastoreItem xmlns:ds="http://schemas.openxmlformats.org/officeDocument/2006/customXml" ds:itemID="{CE1CB765-8252-4786-89B5-E815C1F7A4C6}">
  <ds:schemaRefs/>
</ds:datastoreItem>
</file>

<file path=customXml/itemProps9.xml><?xml version="1.0" encoding="utf-8"?>
<ds:datastoreItem xmlns:ds="http://schemas.openxmlformats.org/officeDocument/2006/customXml" ds:itemID="{8C806083-0CBD-4C92-B695-1E0905EFD54D}">
  <ds:schemaRefs/>
</ds:datastoreItem>
</file>

<file path=customXml/itemProps10.xml><?xml version="1.0" encoding="utf-8"?>
<ds:datastoreItem xmlns:ds="http://schemas.openxmlformats.org/officeDocument/2006/customXml" ds:itemID="{8C3D6315-07FD-4861-B4A4-135F02C45AA6}">
  <ds:schemaRefs/>
</ds:datastoreItem>
</file>

<file path=customXml/itemProps11.xml><?xml version="1.0" encoding="utf-8"?>
<ds:datastoreItem xmlns:ds="http://schemas.openxmlformats.org/officeDocument/2006/customXml" ds:itemID="{D6089605-CA63-453A-93FC-93830DF52562}">
  <ds:schemaRefs/>
</ds:datastoreItem>
</file>

<file path=customXml/itemProps12.xml><?xml version="1.0" encoding="utf-8"?>
<ds:datastoreItem xmlns:ds="http://schemas.openxmlformats.org/officeDocument/2006/customXml" ds:itemID="{068F3648-335D-417C-9354-C529F67D37C2}">
  <ds:schemaRefs/>
</ds:datastoreItem>
</file>

<file path=customXml/itemProps13.xml><?xml version="1.0" encoding="utf-8"?>
<ds:datastoreItem xmlns:ds="http://schemas.openxmlformats.org/officeDocument/2006/customXml" ds:itemID="{085CA792-0148-4046-9D81-4D999A7A5180}">
  <ds:schemaRefs/>
</ds:datastoreItem>
</file>

<file path=customXml/itemProps14.xml><?xml version="1.0" encoding="utf-8"?>
<ds:datastoreItem xmlns:ds="http://schemas.openxmlformats.org/officeDocument/2006/customXml" ds:itemID="{0B4461A4-AE2A-4F35-8D66-ED525E426FDA}">
  <ds:schemaRefs/>
</ds:datastoreItem>
</file>

<file path=customXml/itemProps15.xml><?xml version="1.0" encoding="utf-8"?>
<ds:datastoreItem xmlns:ds="http://schemas.openxmlformats.org/officeDocument/2006/customXml" ds:itemID="{97A9A65A-EA9F-485F-BBBE-18237C82A3C2}">
  <ds:schemaRefs/>
</ds:datastoreItem>
</file>

<file path=customXml/itemProps16.xml><?xml version="1.0" encoding="utf-8"?>
<ds:datastoreItem xmlns:ds="http://schemas.openxmlformats.org/officeDocument/2006/customXml" ds:itemID="{ADF71844-4B90-4555-A508-9D21A0B12F0C}">
  <ds:schemaRefs/>
</ds:datastoreItem>
</file>

<file path=customXml/itemProps17.xml><?xml version="1.0" encoding="utf-8"?>
<ds:datastoreItem xmlns:ds="http://schemas.openxmlformats.org/officeDocument/2006/customXml" ds:itemID="{A50EF6C1-083D-4E7A-A6D6-88F22079122E}">
  <ds:schemaRefs/>
</ds:datastoreItem>
</file>

<file path=customXml/itemProps18.xml><?xml version="1.0" encoding="utf-8"?>
<ds:datastoreItem xmlns:ds="http://schemas.openxmlformats.org/officeDocument/2006/customXml" ds:itemID="{E37FCEFF-A26F-4043-939E-E3D203BB321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Rawat</dc:creator>
  <cp:lastModifiedBy>Ashish Rawat</cp:lastModifiedBy>
  <dcterms:created xsi:type="dcterms:W3CDTF">2026-06-25T15:24:20Z</dcterms:created>
  <dcterms:modified xsi:type="dcterms:W3CDTF">2026-06-26T04:13:44Z</dcterms:modified>
</cp:coreProperties>
</file>